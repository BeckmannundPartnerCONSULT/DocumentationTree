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805F260-9080-4D3D-8D40-1521DC0868AD}" xr6:coauthVersionLast="47" xr6:coauthVersionMax="47" xr10:uidLastSave="{00000000-0000-0000-0000-000000000000}"/>
  <bookViews>
    <workbookView xWindow="7350" yWindow="435" windowWidth="19905" windowHeight="13455" firstSheet="1" activeTab="2" xr2:uid="{31CB47F5-4F4C-4BB4-B94C-8A5C26A45674}"/>
  </bookViews>
  <sheets>
    <sheet name="Kontodaten anzeigen" sheetId="1" r:id="rId1"/>
    <sheet name="Kundenuebersicht" sheetId="4" r:id="rId2"/>
    <sheet name="TreeView" sheetId="5" r:id="rId3"/>
    <sheet name="Kundentabelle" sheetId="3" r:id="rId4"/>
    <sheet name="Pivottabelle" sheetId="2" r:id="rId5"/>
  </sheets>
  <externalReferences>
    <externalReference r:id="rId6"/>
  </externalReferenc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" l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2" i="1"/>
  <c r="A3" i="1"/>
  <c r="C3" i="1"/>
  <c r="A4" i="1"/>
  <c r="C4" i="1"/>
  <c r="A5" i="1"/>
  <c r="C5" i="1"/>
  <c r="A6" i="1"/>
  <c r="C6" i="1"/>
  <c r="A7" i="1"/>
  <c r="C7" i="1"/>
  <c r="A8" i="1"/>
  <c r="C8" i="1"/>
  <c r="A9" i="1"/>
  <c r="C9" i="1"/>
  <c r="A10" i="1"/>
  <c r="C10" i="1"/>
  <c r="A11" i="1"/>
  <c r="C11" i="1"/>
  <c r="A12" i="1"/>
  <c r="C12" i="1"/>
  <c r="A13" i="1"/>
  <c r="C13" i="1"/>
  <c r="A14" i="1"/>
  <c r="C14" i="1"/>
  <c r="A15" i="1"/>
  <c r="C15" i="1"/>
  <c r="A16" i="1"/>
  <c r="C16" i="1"/>
  <c r="A17" i="1"/>
  <c r="C17" i="1"/>
  <c r="A18" i="1"/>
  <c r="C18" i="1"/>
  <c r="A19" i="1"/>
  <c r="C19" i="1"/>
  <c r="A20" i="1"/>
  <c r="C20" i="1"/>
  <c r="A21" i="1"/>
  <c r="C21" i="1"/>
  <c r="A22" i="1"/>
  <c r="C22" i="1"/>
  <c r="A23" i="1"/>
  <c r="C23" i="1"/>
  <c r="A24" i="1"/>
  <c r="C24" i="1"/>
  <c r="A25" i="1"/>
  <c r="C25" i="1"/>
  <c r="A26" i="1"/>
  <c r="C26" i="1"/>
  <c r="A27" i="1"/>
  <c r="C27" i="1"/>
  <c r="A28" i="1"/>
  <c r="C28" i="1"/>
  <c r="A29" i="1"/>
  <c r="C29" i="1"/>
  <c r="A30" i="1"/>
  <c r="C30" i="1"/>
  <c r="A31" i="1"/>
  <c r="C31" i="1"/>
  <c r="A32" i="1"/>
  <c r="C32" i="1"/>
  <c r="A33" i="1"/>
  <c r="C33" i="1"/>
  <c r="A34" i="1"/>
  <c r="C34" i="1"/>
  <c r="A35" i="1"/>
  <c r="C35" i="1"/>
  <c r="A36" i="1"/>
  <c r="C36" i="1"/>
  <c r="A37" i="1"/>
  <c r="C37" i="1"/>
  <c r="A38" i="1"/>
  <c r="C38" i="1"/>
  <c r="A39" i="1"/>
  <c r="C39" i="1"/>
  <c r="A40" i="1"/>
  <c r="C40" i="1"/>
  <c r="A41" i="1"/>
  <c r="C41" i="1"/>
  <c r="A42" i="1"/>
  <c r="C42" i="1"/>
  <c r="A43" i="1"/>
  <c r="C43" i="1"/>
  <c r="A44" i="1"/>
  <c r="C44" i="1"/>
  <c r="A45" i="1"/>
  <c r="C45" i="1"/>
  <c r="A46" i="1"/>
  <c r="C46" i="1"/>
  <c r="A47" i="1"/>
  <c r="C47" i="1"/>
  <c r="A48" i="1"/>
  <c r="C48" i="1"/>
  <c r="C2" i="1"/>
  <c r="D3" i="3" l="1"/>
  <c r="D50" i="3"/>
  <c r="D46" i="3"/>
  <c r="D42" i="3"/>
  <c r="D38" i="3"/>
  <c r="D34" i="3"/>
  <c r="D30" i="3"/>
  <c r="D26" i="3"/>
  <c r="D22" i="3"/>
  <c r="D18" i="3"/>
  <c r="D14" i="3"/>
  <c r="D10" i="3"/>
  <c r="D6" i="3"/>
  <c r="D49" i="3"/>
  <c r="D45" i="3"/>
  <c r="D41" i="3"/>
  <c r="D37" i="3"/>
  <c r="D33" i="3"/>
  <c r="D29" i="3"/>
  <c r="D25" i="3"/>
  <c r="D21" i="3"/>
  <c r="D17" i="3"/>
  <c r="D13" i="3"/>
  <c r="D9" i="3"/>
  <c r="D5" i="3"/>
  <c r="D48" i="3"/>
  <c r="D44" i="3"/>
  <c r="D40" i="3"/>
  <c r="D36" i="3"/>
  <c r="D32" i="3"/>
  <c r="D28" i="3"/>
  <c r="D24" i="3"/>
  <c r="D20" i="3"/>
  <c r="D16" i="3"/>
  <c r="D12" i="3"/>
  <c r="D8" i="3"/>
  <c r="D4" i="3"/>
  <c r="D2" i="3"/>
  <c r="D47" i="3"/>
  <c r="D43" i="3"/>
  <c r="D39" i="3"/>
  <c r="D35" i="3"/>
  <c r="D31" i="3"/>
  <c r="D27" i="3"/>
  <c r="D23" i="3"/>
  <c r="D19" i="3"/>
  <c r="D15" i="3"/>
  <c r="D11" i="3"/>
  <c r="D7" i="3"/>
</calcChain>
</file>

<file path=xl/sharedStrings.xml><?xml version="1.0" encoding="utf-8"?>
<sst xmlns="http://schemas.openxmlformats.org/spreadsheetml/2006/main" count="480" uniqueCount="311">
  <si>
    <t>IBAN</t>
  </si>
  <si>
    <t>Saldo</t>
  </si>
  <si>
    <t>Datum der Kontoeröffnung</t>
  </si>
  <si>
    <t>Zinssatz in Prozent</t>
  </si>
  <si>
    <t>Summe von Saldo</t>
  </si>
  <si>
    <t>Zeilenbeschriftungen</t>
  </si>
  <si>
    <t>Gesamtergebnis</t>
  </si>
  <si>
    <t>1970</t>
  </si>
  <si>
    <t>Qrtl1</t>
  </si>
  <si>
    <t>Mrz</t>
  </si>
  <si>
    <t>Qrtl2</t>
  </si>
  <si>
    <t>Qrtl3</t>
  </si>
  <si>
    <t>Qrtl4</t>
  </si>
  <si>
    <t>Okt</t>
  </si>
  <si>
    <t>Nov</t>
  </si>
  <si>
    <t>Dez</t>
  </si>
  <si>
    <t>1971</t>
  </si>
  <si>
    <t>Jan</t>
  </si>
  <si>
    <t>Feb</t>
  </si>
  <si>
    <t>2004</t>
  </si>
  <si>
    <t>2014</t>
  </si>
  <si>
    <t>Kundenname</t>
  </si>
  <si>
    <t>Kundennummer</t>
  </si>
  <si>
    <t>DE1321341230123123</t>
  </si>
  <si>
    <t>Max Mustermann</t>
  </si>
  <si>
    <t>1</t>
  </si>
  <si>
    <t>DE1321341230923123</t>
  </si>
  <si>
    <t>Maximilian Mustermeier</t>
  </si>
  <si>
    <t>2</t>
  </si>
  <si>
    <t>Svenia Schwedenkopf</t>
  </si>
  <si>
    <t>3</t>
  </si>
  <si>
    <t>DE1321341230123124</t>
  </si>
  <si>
    <t>Garage Reparatur</t>
  </si>
  <si>
    <t>4</t>
  </si>
  <si>
    <t>DE1321341230123125</t>
  </si>
  <si>
    <t>DE1321341230123126</t>
  </si>
  <si>
    <t>DE1321341230123136</t>
  </si>
  <si>
    <t>DE1321341230120006</t>
  </si>
  <si>
    <t>Lieschen Müller</t>
  </si>
  <si>
    <t>5</t>
  </si>
  <si>
    <t>DE1321341230120007</t>
  </si>
  <si>
    <t>Eheleute Frau Meier</t>
  </si>
  <si>
    <t>6</t>
  </si>
  <si>
    <t>DE1321341230120008</t>
  </si>
  <si>
    <t>Eheleute Herr Meier</t>
  </si>
  <si>
    <t>7</t>
  </si>
  <si>
    <t>DE1321341230120009</t>
  </si>
  <si>
    <t>Sportverein e.V.</t>
  </si>
  <si>
    <t>8</t>
  </si>
  <si>
    <t>DE1321341230120010</t>
  </si>
  <si>
    <t>9</t>
  </si>
  <si>
    <t>DE1321341230120011</t>
  </si>
  <si>
    <t>Lieschen Mustermann</t>
  </si>
  <si>
    <t>10</t>
  </si>
  <si>
    <t>DE1321341230120012</t>
  </si>
  <si>
    <t>DE1321341230120013</t>
  </si>
  <si>
    <t>Gaby Sabi Haarcoiffure</t>
  </si>
  <si>
    <t>11</t>
  </si>
  <si>
    <t>DE1321341230120014</t>
  </si>
  <si>
    <t>DE1321341230120015</t>
  </si>
  <si>
    <t>DE1321341230120016</t>
  </si>
  <si>
    <t>Waschsalon in the City</t>
  </si>
  <si>
    <t>12</t>
  </si>
  <si>
    <t>DE1321341230120017</t>
  </si>
  <si>
    <t>DE1321341230120018</t>
  </si>
  <si>
    <t>DE1321341230120019</t>
  </si>
  <si>
    <t>DE1321341230120020</t>
  </si>
  <si>
    <t>DE1321341230120021</t>
  </si>
  <si>
    <t>DE1321341230120022</t>
  </si>
  <si>
    <t>Edelboutique am Bach</t>
  </si>
  <si>
    <t>13</t>
  </si>
  <si>
    <t>DE1321341230120023</t>
  </si>
  <si>
    <t>DE1321341230120024</t>
  </si>
  <si>
    <t>DE1321341230120025</t>
  </si>
  <si>
    <t>DE1321341230120026</t>
  </si>
  <si>
    <t>DE1321341230120027</t>
  </si>
  <si>
    <t>Wohnanlage gutes Gefühl</t>
  </si>
  <si>
    <t>14</t>
  </si>
  <si>
    <t>DE1321341230120028</t>
  </si>
  <si>
    <t>DE1321341230120029</t>
  </si>
  <si>
    <t>DE1321341230120030</t>
  </si>
  <si>
    <t>DE1321341230120031</t>
  </si>
  <si>
    <t>DE1321341230120032</t>
  </si>
  <si>
    <t>Meier Schmid</t>
  </si>
  <si>
    <t>15</t>
  </si>
  <si>
    <t>DE1321341230120033</t>
  </si>
  <si>
    <t>DE1321341230120034</t>
  </si>
  <si>
    <t>DE1321341230120035</t>
  </si>
  <si>
    <t>DE1321341230120036</t>
  </si>
  <si>
    <t>Heizungsbau Burgfried</t>
  </si>
  <si>
    <t>16</t>
  </si>
  <si>
    <t>DE1321341230120037</t>
  </si>
  <si>
    <t>DE1321341230120038</t>
  </si>
  <si>
    <t>DE1321341230120039</t>
  </si>
  <si>
    <t>DE1321341230120040</t>
  </si>
  <si>
    <t>Max Reicher-Mann</t>
  </si>
  <si>
    <t>17</t>
  </si>
  <si>
    <t>DE1321341230120041</t>
  </si>
  <si>
    <t>DE1321341230120042</t>
  </si>
  <si>
    <t>DE1321341230120043</t>
  </si>
  <si>
    <t>Max Muster-Mann</t>
  </si>
  <si>
    <t>18</t>
  </si>
  <si>
    <t>DE1321341230120044</t>
  </si>
  <si>
    <t>DE1321341230120045</t>
  </si>
  <si>
    <t>Frau Kapita Linderstrasse</t>
  </si>
  <si>
    <t>19</t>
  </si>
  <si>
    <t>Werte</t>
  </si>
  <si>
    <t>Anzahl von IBAN</t>
  </si>
  <si>
    <t>Mittelwert von Saldo2</t>
  </si>
  <si>
    <t>Max. von Saldo2</t>
  </si>
  <si>
    <t>Min. von Saldo2</t>
  </si>
  <si>
    <t>Garage Reparatur Ergebnis</t>
  </si>
  <si>
    <t>Tree={branchname="Tree"</t>
  </si>
  <si>
    <t>,{branchname="Pritschenwagen"</t>
  </si>
  <si>
    <t>},</t>
  </si>
  <si>
    <t>,{branchname="Benzinkastenwagen"</t>
  </si>
  <si>
    <t>},{branchname="Diesel 345"</t>
  </si>
  <si>
    <t>},{branchname="Elektro 123"</t>
  </si>
  <si>
    <t>},{branchname="Hybrid -"</t>
  </si>
  <si>
    <t>},{branchname="Gasoline"</t>
  </si>
  <si>
    <t>},{branchname="Sattelschlepper"</t>
  </si>
  <si>
    <t>,{branchname="Benzinsattelschlepper"</t>
  </si>
  <si>
    <t>},{branchname="Dieselsattelschlepper"</t>
  </si>
  <si>
    <t>},{branchname="Elektrosattelschlepper"</t>
  </si>
  <si>
    <t>},{branchname="Hybridsattelschlepper"</t>
  </si>
  <si>
    <t>},{branchname="Gassattelschlepper"</t>
  </si>
  <si>
    <t>},{branchname="Öl-LKW"</t>
  </si>
  <si>
    <t>,{branchname="Benzin-Öl-LKW"</t>
  </si>
  <si>
    <t>},{branchname="Diesel-Öl-LKW"</t>
  </si>
  <si>
    <t>},{branchname="Elektro-Öl-LKW"</t>
  </si>
  <si>
    <t>},{branchname="Hybrid-Öl-LKW"</t>
  </si>
  <si>
    <t>},{branchname="Gas-Öl-LKW"</t>
  </si>
  <si>
    <t>},{branchname="Test 2"</t>
  </si>
  <si>
    <t>},{branchname="PKW"</t>
  </si>
  <si>
    <t>,{branchname="Limousine"</t>
  </si>
  <si>
    <t>,{branchname="Benzinlimousine"</t>
  </si>
  <si>
    <t>},{branchname="Dieselfahrzeug"</t>
  </si>
  <si>
    <t>},{branchname="Elektroauto groß"</t>
  </si>
  <si>
    <t>},{branchname="Hybridauto"</t>
  </si>
  <si>
    <t>},{branchname="Gasfahrzeug"</t>
  </si>
  <si>
    <t>},{branchname="Kombi"</t>
  </si>
  <si>
    <t>,{branchname="Dieselkutsche"</t>
  </si>
  <si>
    <t>},{branchname="Elektrokutsche"</t>
  </si>
  <si>
    <t>},{branchname="Hybridkutsche"</t>
  </si>
  <si>
    <t>},{branchname="Gaskutsche"</t>
  </si>
  <si>
    <t>},{branchname="Coupé"</t>
  </si>
  <si>
    <t>}</t>
  </si>
  <si>
    <t>Option Compare Database</t>
  </si>
  <si>
    <t>Private Sub Befehl2_Click()</t>
  </si>
  <si>
    <t xml:space="preserve">    Dim objTree As TreeView</t>
  </si>
  <si>
    <t xml:space="preserve">    Set objTree = Me.TreeView0.Object</t>
  </si>
  <si>
    <t xml:space="preserve"> 'output the tree as a Lua table</t>
  </si>
  <si>
    <t>Dim ctr As Integer</t>
  </si>
  <si>
    <t>Dim levelOutput As Integer</t>
  </si>
  <si>
    <t>Dim oldlevelOutput As Integer</t>
  </si>
  <si>
    <t>Dim textOutput As String</t>
  </si>
  <si>
    <t>oldlevelOutput = -1</t>
  </si>
  <si>
    <t>levelOutput = 0</t>
  </si>
  <si>
    <t>Debug.Print "Tree={branchname=""" &amp; objTree.Nodes.Item(1) &amp; """"</t>
  </si>
  <si>
    <t>textOutput = "Tree={branchname=""" &amp; objTree.Nodes.Item(1) &amp; """" &amp; vbCrLf</t>
  </si>
  <si>
    <t>'objTree.Nodes.Item(1).Expanded = True</t>
  </si>
  <si>
    <t>For ctr = 2 To objTree.Nodes.Count</t>
  </si>
  <si>
    <t xml:space="preserve">    oldlevelOutput = levelOutput</t>
  </si>
  <si>
    <t xml:space="preserve">    Set noddy = objTree.Nodes.Item(ctr)</t>
  </si>
  <si>
    <t xml:space="preserve">    'objTree.Nodes.Item(ctr).Expanded = True</t>
  </si>
  <si>
    <t xml:space="preserve">    'iterates through each node (and sub-node) in the tree</t>
  </si>
  <si>
    <t xml:space="preserve">    'Debug.Print objTree.Nodes.Item(ctr).Parent &amp; " " &amp; noddy.Key</t>
  </si>
  <si>
    <t xml:space="preserve">    'Debug.Print objTree.Nodes.Item(ctr).FullPath</t>
  </si>
  <si>
    <t xml:space="preserve">    levelOutput = UBound(Split(objTree.Nodes.Item(ctr).FullPath, "\"))</t>
  </si>
  <si>
    <t xml:space="preserve">    'Debug.Print "--" &amp; oldlevelOutput &amp; " -&gt; " &amp; levelOutput</t>
  </si>
  <si>
    <t xml:space="preserve">    If oldlevelOutput &lt; levelOutput Then</t>
  </si>
  <si>
    <t xml:space="preserve">        Debug.Print ",{branchname=""" &amp; objTree.Nodes.Item(ctr) &amp; """"</t>
  </si>
  <si>
    <t xml:space="preserve">        textOutput = textOutput &amp; ",{branchname=""" &amp; objTree.Nodes.Item(ctr) &amp; """" &amp; vbCrLf</t>
  </si>
  <si>
    <t xml:space="preserve">    ElseIf oldlevelOutput = levelOutput Then</t>
  </si>
  <si>
    <t xml:space="preserve">        Debug.Print "},{branchname=""" &amp; objTree.Nodes.Item(ctr) &amp; """"</t>
  </si>
  <si>
    <t xml:space="preserve">        textOutput = textOutput &amp; "},{branchname=""" &amp; objTree.Nodes.Item(ctr) &amp; """" &amp; vbCrLf</t>
  </si>
  <si>
    <t xml:space="preserve">    ElseIf oldlevelOutput &gt; levelOutput Then</t>
  </si>
  <si>
    <t xml:space="preserve">        For i = 1 To oldlevelOutput - levelOutput</t>
  </si>
  <si>
    <t xml:space="preserve">            Debug.Print "},"</t>
  </si>
  <si>
    <t xml:space="preserve">            textOutput = textOutput &amp; "}," &amp; vbCrLf</t>
  </si>
  <si>
    <t xml:space="preserve">        Next</t>
  </si>
  <si>
    <t xml:space="preserve">    End If</t>
  </si>
  <si>
    <t>Next</t>
  </si>
  <si>
    <t>'Debug.Print "--" &amp; levelOutput</t>
  </si>
  <si>
    <t>For i = 1 To levelOutput</t>
  </si>
  <si>
    <t xml:space="preserve">    Debug.Print "},"</t>
  </si>
  <si>
    <t xml:space="preserve">    textOutput = textOutput &amp; "}," &amp; vbCrLf</t>
  </si>
  <si>
    <t>Debug.Print "}"</t>
  </si>
  <si>
    <t>textOutput = textOutput &amp; "}" &amp; vbCrLf</t>
  </si>
  <si>
    <t>Me.Text11 = textOutput</t>
  </si>
  <si>
    <t xml:space="preserve">   'new nodes have the index at the end of Item list: Debug.Print objTree.Nodes.Item(objTree.Nodes.Count)</t>
  </si>
  <si>
    <t xml:space="preserve">    Set objTree = Nothing</t>
  </si>
  <si>
    <t>End Sub</t>
  </si>
  <si>
    <t>Private Sub Befehl3_Click()</t>
  </si>
  <si>
    <t>For ctr = 1 To objTree.Nodes.Count</t>
  </si>
  <si>
    <t xml:space="preserve">    objTree.Nodes.Item(ctr).Expanded = True</t>
  </si>
  <si>
    <t>Private Sub Befehl6_Click()</t>
  </si>
  <si>
    <t>Debug.Print objTree.SelectedItem.Text</t>
  </si>
  <si>
    <t>Debug.Print Me.Text7</t>
  </si>
  <si>
    <t>objTree.SelectedItem.Text = Me.Text7</t>
  </si>
  <si>
    <t>Private Sub Befehl9_Click()</t>
  </si>
  <si>
    <t>On Error Resume Next</t>
  </si>
  <si>
    <t>objTree.Nodes.Add Relative:=objTree.SelectedItem.Text, Relationship:=tvwChild, Key:=Me.Text7, Text:=Me.Text7</t>
  </si>
  <si>
    <t>Private Sub Befehl10_Click()</t>
  </si>
  <si>
    <t xml:space="preserve">    Dim x As Integer</t>
  </si>
  <si>
    <t xml:space="preserve">    If objTree.Nodes.Item(ctr) = objTree.SelectedItem.Text Then</t>
  </si>
  <si>
    <t xml:space="preserve">        x = ctr</t>
  </si>
  <si>
    <t>objTree.Nodes.Remove x</t>
  </si>
  <si>
    <t>Private Sub Form_Load()</t>
  </si>
  <si>
    <t xml:space="preserve">   </t>
  </si>
  <si>
    <t>'objTree.Nodes.Add Key:="Bedarf", Text:="Bedarf"</t>
  </si>
  <si>
    <t>'Add node that is a child</t>
  </si>
  <si>
    <t>'objTree.Nodes.Add Relative:="Bedarf", Relationship:=tvwChild, Key:="Access VBA Formular", Text:="Access VBA Formular"</t>
  </si>
  <si>
    <t>'objTree.Nodes.Add Relative:="Bedarf", Relationship:=tvwChild, Key:="Befüllung durch Tabelle möglich", Text:="Befüllung durch Tabelle möglich"</t>
  </si>
  <si>
    <t>objTree.Nodes.Add Key:="Tree", Text:="Tree"</t>
  </si>
  <si>
    <t>Dim Db As DAO.Database</t>
  </si>
  <si>
    <t>Dim rs As DAO.Recordset</t>
  </si>
  <si>
    <t>Dim strSQL As String</t>
  </si>
  <si>
    <t>Dim strSQL_output As String</t>
  </si>
  <si>
    <t>Dim arrayTree As Variant</t>
  </si>
  <si>
    <t>Dim x As Integer</t>
  </si>
  <si>
    <t>Dim levelNumber As Integer</t>
  </si>
  <si>
    <t>Dim isLeaf As String</t>
  </si>
  <si>
    <t>Dim arrayNode(-1 To 12) As Variant</t>
  </si>
  <si>
    <t>DoCmd.SetWarnings False</t>
  </si>
  <si>
    <t>Set Db = CurrentDb</t>
  </si>
  <si>
    <t>strSQL = "SELECT Tree.Tree FROM Tree;"</t>
  </si>
  <si>
    <t>Set rs = Db.OpenRecordset(strSQL, dbOpenDynaset, dbSeeChanges)</t>
  </si>
  <si>
    <t>levelNumber = 0</t>
  </si>
  <si>
    <t>keyNumber = 0</t>
  </si>
  <si>
    <t>isLeaf = "no"</t>
  </si>
  <si>
    <t>Do While Not rs.EOF</t>
  </si>
  <si>
    <t xml:space="preserve">    Debug.Print rs!Tree</t>
  </si>
  <si>
    <t xml:space="preserve">    arrayTree = Split(Replace(Replace(Replace(rs!Tree, Chr(13) &amp; Chr(10), ""), """,""", """,{leaf"""), "}", """}"""), """")</t>
  </si>
  <si>
    <t xml:space="preserve">    For x = 0 To UBound(arrayTree)</t>
  </si>
  <si>
    <t xml:space="preserve">        If arrayTree(x) = ",{branchname=" Then</t>
  </si>
  <si>
    <t xml:space="preserve">            levelNumber = levelNumber + 1</t>
  </si>
  <si>
    <t xml:space="preserve">        ElseIf arrayTree(x) = "}" And isLeaf = "yes" Then</t>
  </si>
  <si>
    <t xml:space="preserve">            levelNumber = levelNumber - 2</t>
  </si>
  <si>
    <t xml:space="preserve">            isLeaf = "no"</t>
  </si>
  <si>
    <t xml:space="preserve">        ElseIf arrayTree(x) = "}" Then</t>
  </si>
  <si>
    <t xml:space="preserve">            levelNumber = levelNumber - 1</t>
  </si>
  <si>
    <t xml:space="preserve">        ElseIf arrayTree(x) = ",{leaf" And isLeaf = "no" Then</t>
  </si>
  <si>
    <t xml:space="preserve">            isLeaf = "yes"</t>
  </si>
  <si>
    <t xml:space="preserve">        End If</t>
  </si>
  <si>
    <t xml:space="preserve">        'Debug.Print levelNumber</t>
  </si>
  <si>
    <t xml:space="preserve">        If Not arrayTree(x) = "}" Then</t>
  </si>
  <si>
    <t xml:space="preserve">            arrayNode(levelNumber) = arrayTree(x)</t>
  </si>
  <si>
    <t xml:space="preserve">        'Debug.Print arrayNode(levelNumber - 1) &amp; ": " &amp; arrayNode(levelNumber)</t>
  </si>
  <si>
    <t xml:space="preserve">    On Error Resume Next</t>
  </si>
  <si>
    <t xml:space="preserve">    If Not arrayNode(levelNumber) = "" And InStr(1, arrayNode(levelNumber), ",", vbTextCompare) = 0 Then</t>
  </si>
  <si>
    <t xml:space="preserve">        objTree.Nodes.Add Relative:=arrayNode(levelNumber - 1), Relationship:=tvwChild, Key:=arrayNode(levelNumber), Text:=arrayNode(levelNumber)</t>
  </si>
  <si>
    <t xml:space="preserve">    Next</t>
  </si>
  <si>
    <t xml:space="preserve">    rs.MoveNext</t>
  </si>
  <si>
    <t>Loop 'Do While Not rs.EOF</t>
  </si>
  <si>
    <t>'Constants used to define relationship of node when adding</t>
  </si>
  <si>
    <t>'CONSTANT / DESCRIPTION</t>
  </si>
  <si>
    <t>'tvwFirst / Add as the first node at the level of the relative.</t>
  </si>
  <si>
    <t>'tvwLast / Add as the last node at the level of the relative.</t>
  </si>
  <si>
    <t>'tvwNext / Add after immediately following a specified node.</t>
  </si>
  <si>
    <t>'tvwPrevious / Add after immediately preceding a specified node.</t>
  </si>
  <si>
    <t>'tvwChild / Add as a child to the specified node.</t>
  </si>
  <si>
    <t>'print number of nodes</t>
  </si>
  <si>
    <t>Debug.Print objTree.Nodes.Count</t>
  </si>
  <si>
    <t>'objTree.FullRowSelect = True</t>
  </si>
  <si>
    <t>''''output the tree as a Lua table</t>
  </si>
  <si>
    <t>'''Dim ctr As Integer</t>
  </si>
  <si>
    <t>'''Dim levelOutput As Integer</t>
  </si>
  <si>
    <t>'''Dim oldlevelOutput As Integer</t>
  </si>
  <si>
    <t>'''</t>
  </si>
  <si>
    <t>'''oldlevelOutput = -1</t>
  </si>
  <si>
    <t>'''levelOutput = 0</t>
  </si>
  <si>
    <t>'''Debug.Print "Tree={branchname=""" &amp; objTree.Nodes.Item(1) &amp; """"</t>
  </si>
  <si>
    <t>'''objTree.Nodes.Item(1).Expanded = True</t>
  </si>
  <si>
    <t>'''For ctr = 2 To objTree.Nodes.Count</t>
  </si>
  <si>
    <t>'''    oldlevelOutput = levelOutput</t>
  </si>
  <si>
    <t>'''    Set noddy = objTree.Nodes.Item(ctr)</t>
  </si>
  <si>
    <t>'''    objTree.Nodes.Item(ctr).Expanded = True</t>
  </si>
  <si>
    <t>'''    'iterates through each node (and sub-node) in the tree</t>
  </si>
  <si>
    <t>'''    'Debug.Print objTree.Nodes.Item(ctr).Parent &amp; " " &amp; noddy.Key</t>
  </si>
  <si>
    <t>'''    'Debug.Print objTree.Nodes.Item(ctr).FullPath</t>
  </si>
  <si>
    <t>'''    levelOutput = UBound(Split(objTree.Nodes.Item(ctr).FullPath, "\"))</t>
  </si>
  <si>
    <t>'''    'Debug.Print levelOutput</t>
  </si>
  <si>
    <t>'''    If oldlevelOutput &lt; levelOutput Then</t>
  </si>
  <si>
    <t>'''        Debug.Print ",{branchname=""" &amp; objTree.Nodes.Item(ctr) &amp; """"</t>
  </si>
  <si>
    <t>'''    ElseIf oldlevelOutput = levelOutput Then</t>
  </si>
  <si>
    <t>'''        Debug.Print "},{branchname=""" &amp; objTree.Nodes.Item(ctr) &amp; """"</t>
  </si>
  <si>
    <t>'''    ElseIf oldlevelOutput &gt; levelOutput Then</t>
  </si>
  <si>
    <t>'''        For i = 1 To oldlevelOutput - levelOutput</t>
  </si>
  <si>
    <t>'''            Debug.Print "},"</t>
  </si>
  <si>
    <t>'''        Next</t>
  </si>
  <si>
    <t>'''    End If</t>
  </si>
  <si>
    <t>'''Next</t>
  </si>
  <si>
    <t>'''For i = 1 To oldlevelOutput</t>
  </si>
  <si>
    <t>'''    Debug.Print "},"</t>
  </si>
  <si>
    <t>'''Debug.Print "}"</t>
  </si>
  <si>
    <t>,"Benzinpritschenwagen"</t>
  </si>
  <si>
    <t>,"Elektroversion"</t>
  </si>
  <si>
    <t>,"Hybrid 346"</t>
  </si>
  <si>
    <t>,"Gas 346"</t>
  </si>
  <si>
    <t>,{branchname="Kastenwagen"</t>
  </si>
  <si>
    <t>,"Dieselcoupé"</t>
  </si>
  <si>
    <t>,"Benzincabrio"</t>
  </si>
  <si>
    <t>,"Gascabrio"</t>
  </si>
  <si>
    <t>,"Elektrocabrio"</t>
  </si>
  <si>
    <t>,"Hybridcoupé Diesel"</t>
  </si>
  <si>
    <t>,"Hybridcoupé Benzin"</t>
  </si>
  <si>
    <t>},{branchname="Benziner 2l"</t>
  </si>
  <si>
    <t>},{branchname="Benziner 3l"</t>
  </si>
  <si>
    <t>,{branchname="C:\Temp\testDaten.accdb"</t>
  </si>
  <si>
    <t>,"C:\Temp"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</si>
</sst>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2" borderId="3" xfId="1" applyFont="1" applyFill="1" applyBorder="1" applyAlignment="1">
      <alignment horizontal="center"/>
    </xf>
    <xf numFmtId="0" fontId="3" fillId="0" borderId="0" xfId="0" applyFont="1"/>
  </cellXfs>
  <cellStyles count="2">
    <cellStyle name="Standard" xfId="0" builtinId="0"/>
    <cellStyle name="Standard_Kundentabelle" xfId="1" xr:uid="{5AFF0186-7214-41EC-BE7C-3CFEAEAEEF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4</xdr:row>
      <xdr:rowOff>133349</xdr:rowOff>
    </xdr:from>
    <xdr:to>
      <xdr:col>7</xdr:col>
      <xdr:colOff>628650</xdr:colOff>
      <xdr:row>16</xdr:row>
      <xdr:rowOff>28574</xdr:rowOff>
    </xdr:to>
    <xdr:sp macro="[0]!Rechteck2_Klicken" textlink="">
      <xdr:nvSpPr>
        <xdr:cNvPr id="3" name="Rechteck 2">
          <a:extLst>
            <a:ext uri="{FF2B5EF4-FFF2-40B4-BE49-F238E27FC236}">
              <a16:creationId xmlns:a16="http://schemas.microsoft.com/office/drawing/2014/main" id="{403E00EC-7919-C8EE-7162-BB07CD33CABA}"/>
            </a:ext>
          </a:extLst>
        </xdr:cNvPr>
        <xdr:cNvSpPr/>
      </xdr:nvSpPr>
      <xdr:spPr>
        <a:xfrm>
          <a:off x="9163050" y="885824"/>
          <a:ext cx="3305175" cy="2181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TreeView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rixex_Prototyp_ExcelDB_Tre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ex_Prototyp_ExcelDB_Tree"/>
    </sheetNames>
    <sheetDataSet>
      <sheetData sheetId="0">
        <row r="1">
          <cell r="A1" t="str">
            <v>DE1321341230923123</v>
          </cell>
          <cell r="B1" t="str">
            <v>12324.60</v>
          </cell>
          <cell r="C1">
            <v>38058</v>
          </cell>
          <cell r="D1" t="str">
            <v>0.001</v>
          </cell>
        </row>
        <row r="2">
          <cell r="A2" t="str">
            <v>DE1321341230123123</v>
          </cell>
          <cell r="B2">
            <v>12324</v>
          </cell>
          <cell r="C2">
            <v>38058</v>
          </cell>
          <cell r="D2" t="str">
            <v>0.0023</v>
          </cell>
        </row>
        <row r="3">
          <cell r="A3" t="str">
            <v>DE1321341230123124</v>
          </cell>
          <cell r="B3">
            <v>44682</v>
          </cell>
          <cell r="C3">
            <v>38069</v>
          </cell>
          <cell r="D3" t="str">
            <v>0.0021</v>
          </cell>
        </row>
        <row r="4">
          <cell r="A4" t="str">
            <v>DE1321341230123125</v>
          </cell>
          <cell r="B4" t="str">
            <v>34541.43</v>
          </cell>
          <cell r="C4">
            <v>38089</v>
          </cell>
          <cell r="D4" t="str">
            <v>0.0022</v>
          </cell>
        </row>
        <row r="5">
          <cell r="A5" t="str">
            <v>DE1321341230123126</v>
          </cell>
          <cell r="B5" t="str">
            <v>341.43</v>
          </cell>
          <cell r="C5">
            <v>41710</v>
          </cell>
          <cell r="D5" t="str">
            <v>0.0021</v>
          </cell>
        </row>
        <row r="6">
          <cell r="A6" t="str">
            <v>DE1321341230123136</v>
          </cell>
          <cell r="B6" t="str">
            <v>1341.43</v>
          </cell>
          <cell r="C6">
            <v>41985</v>
          </cell>
          <cell r="D6" t="str">
            <v>0.0021</v>
          </cell>
        </row>
        <row r="7">
          <cell r="A7" t="str">
            <v>DE1321341230120006</v>
          </cell>
          <cell r="B7" t="str">
            <v>7527.43</v>
          </cell>
          <cell r="C7">
            <v>25654</v>
          </cell>
          <cell r="D7" t="str">
            <v>0.0021</v>
          </cell>
        </row>
        <row r="8">
          <cell r="A8" t="str">
            <v>DE1321341230120007</v>
          </cell>
          <cell r="B8" t="str">
            <v>8348.43</v>
          </cell>
          <cell r="C8">
            <v>25669</v>
          </cell>
          <cell r="D8" t="str">
            <v>0.0021</v>
          </cell>
        </row>
        <row r="9">
          <cell r="A9" t="str">
            <v>DE1321341230120008</v>
          </cell>
          <cell r="B9" t="str">
            <v>9109.43</v>
          </cell>
          <cell r="C9">
            <v>25683</v>
          </cell>
          <cell r="D9" t="str">
            <v>0.0021</v>
          </cell>
        </row>
        <row r="10">
          <cell r="A10" t="str">
            <v>DE1321341230120009</v>
          </cell>
          <cell r="B10" t="str">
            <v>9810.43</v>
          </cell>
          <cell r="C10">
            <v>25697</v>
          </cell>
          <cell r="D10" t="str">
            <v>0.0022</v>
          </cell>
        </row>
        <row r="11">
          <cell r="A11" t="str">
            <v>DE1321341230120010</v>
          </cell>
          <cell r="B11" t="str">
            <v>10451.43</v>
          </cell>
          <cell r="C11">
            <v>25712</v>
          </cell>
          <cell r="D11" t="str">
            <v>0.0021</v>
          </cell>
        </row>
        <row r="12">
          <cell r="A12" t="str">
            <v>DE1321341230120011</v>
          </cell>
          <cell r="B12" t="str">
            <v>11032.43</v>
          </cell>
          <cell r="C12">
            <v>25726</v>
          </cell>
          <cell r="D12" t="str">
            <v>0.0022</v>
          </cell>
        </row>
        <row r="13">
          <cell r="A13" t="str">
            <v>DE1321341230120012</v>
          </cell>
          <cell r="B13" t="str">
            <v>11553.43</v>
          </cell>
          <cell r="C13">
            <v>25740</v>
          </cell>
          <cell r="D13" t="str">
            <v>0.0021</v>
          </cell>
        </row>
        <row r="14">
          <cell r="A14" t="str">
            <v>DE1321341230120013</v>
          </cell>
          <cell r="B14" t="str">
            <v>12014.43</v>
          </cell>
          <cell r="C14">
            <v>25754</v>
          </cell>
          <cell r="D14" t="str">
            <v>0.0025</v>
          </cell>
        </row>
        <row r="15">
          <cell r="A15" t="str">
            <v>DE1321341230120014</v>
          </cell>
          <cell r="B15" t="str">
            <v>12415.43</v>
          </cell>
          <cell r="C15">
            <v>25769</v>
          </cell>
          <cell r="D15" t="str">
            <v>0.0025</v>
          </cell>
        </row>
        <row r="16">
          <cell r="A16" t="str">
            <v>DE1321341230120015</v>
          </cell>
          <cell r="B16" t="str">
            <v>12756.43</v>
          </cell>
          <cell r="C16">
            <v>25783</v>
          </cell>
          <cell r="D16" t="str">
            <v>0.0025</v>
          </cell>
        </row>
        <row r="17">
          <cell r="A17" t="str">
            <v>DE1321341230120016</v>
          </cell>
          <cell r="B17" t="str">
            <v>13037.43</v>
          </cell>
          <cell r="C17">
            <v>25797</v>
          </cell>
          <cell r="D17" t="str">
            <v>0.0025</v>
          </cell>
        </row>
        <row r="18">
          <cell r="A18" t="str">
            <v>DE1321341230120017</v>
          </cell>
          <cell r="B18" t="str">
            <v>13258.43</v>
          </cell>
          <cell r="C18">
            <v>25812</v>
          </cell>
          <cell r="D18" t="str">
            <v>0.0025</v>
          </cell>
        </row>
        <row r="19">
          <cell r="A19" t="str">
            <v>DE1321341230120018</v>
          </cell>
          <cell r="B19" t="str">
            <v>13419.43</v>
          </cell>
          <cell r="C19">
            <v>25826</v>
          </cell>
          <cell r="D19" t="str">
            <v>0.0025</v>
          </cell>
        </row>
        <row r="20">
          <cell r="A20" t="str">
            <v>DE1321341230120019</v>
          </cell>
          <cell r="B20" t="str">
            <v>13520.43</v>
          </cell>
          <cell r="C20">
            <v>25840</v>
          </cell>
          <cell r="D20" t="str">
            <v>0.0025</v>
          </cell>
        </row>
        <row r="21">
          <cell r="A21" t="str">
            <v>DE1321341230120020</v>
          </cell>
          <cell r="B21" t="str">
            <v>13561.43</v>
          </cell>
          <cell r="C21">
            <v>25855</v>
          </cell>
          <cell r="D21" t="str">
            <v>0.0025</v>
          </cell>
        </row>
        <row r="22">
          <cell r="A22" t="str">
            <v>DE1321341230120021</v>
          </cell>
          <cell r="B22" t="str">
            <v>13542.43</v>
          </cell>
          <cell r="C22">
            <v>25869</v>
          </cell>
          <cell r="D22" t="str">
            <v>0.0025</v>
          </cell>
        </row>
        <row r="23">
          <cell r="A23" t="str">
            <v>DE1321341230120022</v>
          </cell>
          <cell r="B23" t="str">
            <v>13463.43</v>
          </cell>
          <cell r="C23">
            <v>25883</v>
          </cell>
          <cell r="D23" t="str">
            <v>0.0025</v>
          </cell>
        </row>
        <row r="24">
          <cell r="A24" t="str">
            <v>DE1321341230120023</v>
          </cell>
          <cell r="B24" t="str">
            <v>13324.43</v>
          </cell>
          <cell r="C24">
            <v>25897</v>
          </cell>
          <cell r="D24" t="str">
            <v>0.0025</v>
          </cell>
        </row>
        <row r="25">
          <cell r="A25" t="str">
            <v>DE1321341230120024</v>
          </cell>
          <cell r="B25" t="str">
            <v>13125.43</v>
          </cell>
          <cell r="C25">
            <v>25912</v>
          </cell>
          <cell r="D25" t="str">
            <v>0.001</v>
          </cell>
        </row>
        <row r="26">
          <cell r="A26" t="str">
            <v>DE1321341230120025</v>
          </cell>
          <cell r="B26" t="str">
            <v>12866.43</v>
          </cell>
          <cell r="C26">
            <v>25926</v>
          </cell>
          <cell r="D26" t="str">
            <v>0.0012</v>
          </cell>
        </row>
        <row r="27">
          <cell r="A27" t="str">
            <v>DE1321341230120026</v>
          </cell>
          <cell r="B27" t="str">
            <v>12547.43</v>
          </cell>
          <cell r="C27">
            <v>25940</v>
          </cell>
          <cell r="D27" t="str">
            <v>0.0012</v>
          </cell>
        </row>
        <row r="28">
          <cell r="A28" t="str">
            <v>DE1321341230120027</v>
          </cell>
          <cell r="B28" t="str">
            <v>12168.43</v>
          </cell>
          <cell r="C28">
            <v>25955</v>
          </cell>
          <cell r="D28" t="str">
            <v>0.0012</v>
          </cell>
        </row>
        <row r="29">
          <cell r="A29" t="str">
            <v>DE1321341230120028</v>
          </cell>
          <cell r="B29" t="str">
            <v>11729.43</v>
          </cell>
          <cell r="C29">
            <v>25969</v>
          </cell>
          <cell r="D29" t="str">
            <v>0.0012</v>
          </cell>
        </row>
        <row r="30">
          <cell r="A30" t="str">
            <v>DE1321341230120029</v>
          </cell>
          <cell r="B30" t="str">
            <v>11230.43</v>
          </cell>
          <cell r="C30">
            <v>25983</v>
          </cell>
          <cell r="D30" t="str">
            <v>0.0012</v>
          </cell>
        </row>
        <row r="31">
          <cell r="A31" t="str">
            <v>DE1321341230120030</v>
          </cell>
          <cell r="B31" t="str">
            <v>10671.43</v>
          </cell>
          <cell r="C31">
            <v>25997</v>
          </cell>
          <cell r="D31" t="str">
            <v>0.0012</v>
          </cell>
        </row>
        <row r="32">
          <cell r="A32" t="str">
            <v>DE1321341230120031</v>
          </cell>
          <cell r="B32" t="str">
            <v>10052.43</v>
          </cell>
          <cell r="C32">
            <v>26012</v>
          </cell>
          <cell r="D32" t="str">
            <v>0.0012</v>
          </cell>
        </row>
        <row r="33">
          <cell r="A33" t="str">
            <v>DE1321341230120032</v>
          </cell>
          <cell r="B33" t="str">
            <v>9373.43</v>
          </cell>
          <cell r="C33">
            <v>26026</v>
          </cell>
          <cell r="D33" t="str">
            <v>0.0012</v>
          </cell>
        </row>
        <row r="34">
          <cell r="A34" t="str">
            <v>DE1321341230120033</v>
          </cell>
          <cell r="B34" t="str">
            <v>8634.43</v>
          </cell>
          <cell r="C34">
            <v>26040</v>
          </cell>
          <cell r="D34" t="str">
            <v>0.0012</v>
          </cell>
        </row>
        <row r="35">
          <cell r="A35" t="str">
            <v>DE1321341230120034</v>
          </cell>
          <cell r="B35" t="str">
            <v>7835.43</v>
          </cell>
          <cell r="C35">
            <v>26055</v>
          </cell>
          <cell r="D35" t="str">
            <v>0.0012</v>
          </cell>
        </row>
        <row r="36">
          <cell r="A36" t="str">
            <v>DE1321341230120035</v>
          </cell>
          <cell r="B36" t="str">
            <v>6976.43</v>
          </cell>
          <cell r="C36">
            <v>26069</v>
          </cell>
          <cell r="D36" t="str">
            <v>0.0012</v>
          </cell>
        </row>
        <row r="37">
          <cell r="A37" t="str">
            <v>DE1321341230120036</v>
          </cell>
          <cell r="B37" t="str">
            <v>6057.43</v>
          </cell>
          <cell r="C37">
            <v>26083</v>
          </cell>
          <cell r="D37" t="str">
            <v>0.0012</v>
          </cell>
        </row>
        <row r="38">
          <cell r="A38" t="str">
            <v>DE1321341230120037</v>
          </cell>
          <cell r="B38" t="str">
            <v>5078.43</v>
          </cell>
          <cell r="C38">
            <v>26098</v>
          </cell>
          <cell r="D38" t="str">
            <v>0.0012</v>
          </cell>
        </row>
        <row r="39">
          <cell r="A39" t="str">
            <v>DE1321341230120038</v>
          </cell>
          <cell r="B39" t="str">
            <v>4039.43</v>
          </cell>
          <cell r="C39">
            <v>26112</v>
          </cell>
          <cell r="D39" t="str">
            <v>0.0012</v>
          </cell>
        </row>
        <row r="40">
          <cell r="A40" t="str">
            <v>DE1321341230120039</v>
          </cell>
          <cell r="B40" t="str">
            <v>2940.43</v>
          </cell>
          <cell r="C40">
            <v>26126</v>
          </cell>
          <cell r="D40" t="str">
            <v>0.0012</v>
          </cell>
        </row>
        <row r="41">
          <cell r="A41" t="str">
            <v>DE1321341230120040</v>
          </cell>
          <cell r="B41" t="str">
            <v>1781.43</v>
          </cell>
          <cell r="C41">
            <v>26140</v>
          </cell>
          <cell r="D41" t="str">
            <v>0.0012</v>
          </cell>
        </row>
        <row r="42">
          <cell r="A42" t="str">
            <v>DE1321341230120041</v>
          </cell>
          <cell r="B42" t="str">
            <v>562.43</v>
          </cell>
          <cell r="C42">
            <v>26155</v>
          </cell>
          <cell r="D42" t="str">
            <v>0.0012</v>
          </cell>
        </row>
        <row r="43">
          <cell r="A43" t="str">
            <v>DE1321341230120042</v>
          </cell>
          <cell r="B43" t="str">
            <v>-716.57</v>
          </cell>
          <cell r="C43">
            <v>26169</v>
          </cell>
          <cell r="D43" t="str">
            <v>0.0025</v>
          </cell>
        </row>
        <row r="44">
          <cell r="A44" t="str">
            <v>DE1321341230120043</v>
          </cell>
          <cell r="B44" t="str">
            <v>-2055.57</v>
          </cell>
          <cell r="C44">
            <v>26183</v>
          </cell>
          <cell r="D44" t="str">
            <v>0.0025</v>
          </cell>
        </row>
        <row r="45">
          <cell r="A45" t="str">
            <v>DE1321341230120044</v>
          </cell>
          <cell r="B45" t="str">
            <v>-3454.57</v>
          </cell>
          <cell r="C45">
            <v>26198</v>
          </cell>
          <cell r="D45" t="str">
            <v>0.0025</v>
          </cell>
        </row>
        <row r="46">
          <cell r="A46" t="str">
            <v>DE1321341230120045</v>
          </cell>
          <cell r="B46" t="str">
            <v>-4913.57</v>
          </cell>
          <cell r="C46">
            <v>26212</v>
          </cell>
          <cell r="D46" t="str">
            <v>0.0025</v>
          </cell>
        </row>
        <row r="47">
          <cell r="A47" t="str">
            <v>DE1321341230120145</v>
          </cell>
          <cell r="B47" t="str">
            <v>14913.57</v>
          </cell>
          <cell r="C47">
            <v>26212</v>
          </cell>
          <cell r="D47" t="str">
            <v>0.0025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K" refreshedDate="44704.717139814813" createdVersion="7" refreshedVersion="7" minRefreshableVersion="3" recordCount="47" xr:uid="{A10FB22C-77E7-4F6B-9B18-FA4C462E1BCE}">
  <cacheSource type="worksheet">
    <worksheetSource ref="A1:D48" sheet="Kontodaten anzeigen"/>
  </cacheSource>
  <cacheFields count="6">
    <cacheField name="IBAN" numFmtId="0">
      <sharedItems/>
    </cacheField>
    <cacheField name="Saldo" numFmtId="0">
      <sharedItems containsSemiMixedTypes="0" containsString="0" containsNumber="1" minValue="-4913.57" maxValue="34541.43"/>
    </cacheField>
    <cacheField name="Datum der Kontoeröffnung" numFmtId="14">
      <sharedItems containsSemiMixedTypes="0" containsNonDate="0" containsDate="1" containsString="0" minDate="1970-03-27T00:00:00" maxDate="2014-12-13T00:00:00" count="45">
        <d v="2004-03-12T00:00:00"/>
        <d v="2004-03-23T00:00:00"/>
        <d v="2004-04-12T00:00:00"/>
        <d v="2014-03-12T00:00:00"/>
        <d v="2014-12-12T00:00:00"/>
        <d v="1970-03-27T00:00:00"/>
        <d v="1970-04-11T00:00:00"/>
        <d v="1970-04-25T00:00:00"/>
        <d v="1970-05-09T00:00:00"/>
        <d v="1970-05-24T00:00:00"/>
        <d v="1970-06-07T00:00:00"/>
        <d v="1970-06-21T00:00:00"/>
        <d v="1970-07-05T00:00:00"/>
        <d v="1970-07-20T00:00:00"/>
        <d v="1970-08-03T00:00:00"/>
        <d v="1970-08-17T00:00:00"/>
        <d v="1970-09-01T00:00:00"/>
        <d v="1970-09-15T00:00:00"/>
        <d v="1970-09-29T00:00:00"/>
        <d v="1970-10-14T00:00:00"/>
        <d v="1970-10-28T00:00:00"/>
        <d v="1970-11-11T00:00:00"/>
        <d v="1970-11-25T00:00:00"/>
        <d v="1970-12-10T00:00:00"/>
        <d v="1970-12-24T00:00:00"/>
        <d v="1971-01-07T00:00:00"/>
        <d v="1971-01-22T00:00:00"/>
        <d v="1971-02-05T00:00:00"/>
        <d v="1971-02-19T00:00:00"/>
        <d v="1971-03-05T00:00:00"/>
        <d v="1971-03-20T00:00:00"/>
        <d v="1971-04-03T00:00:00"/>
        <d v="1971-04-17T00:00:00"/>
        <d v="1971-05-02T00:00:00"/>
        <d v="1971-05-16T00:00:00"/>
        <d v="1971-05-30T00:00:00"/>
        <d v="1971-06-14T00:00:00"/>
        <d v="1971-06-28T00:00:00"/>
        <d v="1971-07-12T00:00:00"/>
        <d v="1971-07-26T00:00:00"/>
        <d v="1971-08-10T00:00:00"/>
        <d v="1971-08-24T00:00:00"/>
        <d v="1971-09-07T00:00:00"/>
        <d v="1971-09-22T00:00:00"/>
        <d v="1971-10-06T00:00:00"/>
      </sharedItems>
      <fieldGroup par="5" base="2">
        <rangePr groupBy="months" startDate="1970-03-27T00:00:00" endDate="2014-12-13T00:00:00"/>
        <groupItems count="14">
          <s v="&lt;27.03.1970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13.12.2014"/>
        </groupItems>
      </fieldGroup>
    </cacheField>
    <cacheField name="Zinssatz in Prozent" numFmtId="0">
      <sharedItems containsSemiMixedTypes="0" containsString="0" containsNumber="1" minValue="1E-3" maxValue="2.5000000000000001E-3"/>
    </cacheField>
    <cacheField name="Quartale" numFmtId="0" databaseField="0">
      <fieldGroup base="2">
        <rangePr groupBy="quarters" startDate="1970-03-27T00:00:00" endDate="2014-12-13T00:00:00"/>
        <groupItems count="6">
          <s v="&lt;27.03.1970"/>
          <s v="Qrtl1"/>
          <s v="Qrtl2"/>
          <s v="Qrtl3"/>
          <s v="Qrtl4"/>
          <s v="&gt;13.12.2014"/>
        </groupItems>
      </fieldGroup>
    </cacheField>
    <cacheField name="Jahre" numFmtId="0" databaseField="0">
      <fieldGroup base="2">
        <rangePr groupBy="years" startDate="1970-03-27T00:00:00" endDate="2014-12-13T00:00:00"/>
        <groupItems count="47">
          <s v="&lt;27.03.1970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&gt;13.12.20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K" refreshedDate="44705.67695601852" createdVersion="7" refreshedVersion="7" minRefreshableVersion="3" recordCount="49" xr:uid="{568E547C-5187-47C2-8CE0-61B8E3B73449}">
  <cacheSource type="worksheet">
    <worksheetSource ref="A1:D50" sheet="Kundentabelle"/>
  </cacheSource>
  <cacheFields count="4">
    <cacheField name="IBAN" numFmtId="0">
      <sharedItems count="46">
        <s v="DE1321341230123123"/>
        <s v="DE1321341230923123"/>
        <s v="DE1321341230123124"/>
        <s v="DE1321341230123125"/>
        <s v="DE1321341230123126"/>
        <s v="DE1321341230123136"/>
        <s v="DE1321341230120006"/>
        <s v="DE1321341230120007"/>
        <s v="DE1321341230120008"/>
        <s v="DE1321341230120009"/>
        <s v="DE1321341230120010"/>
        <s v="DE1321341230120011"/>
        <s v="DE1321341230120012"/>
        <s v="DE1321341230120013"/>
        <s v="DE1321341230120014"/>
        <s v="DE1321341230120015"/>
        <s v="DE1321341230120016"/>
        <s v="DE1321341230120017"/>
        <s v="DE1321341230120018"/>
        <s v="DE1321341230120019"/>
        <s v="DE1321341230120020"/>
        <s v="DE1321341230120021"/>
        <s v="DE1321341230120022"/>
        <s v="DE1321341230120023"/>
        <s v="DE1321341230120024"/>
        <s v="DE1321341230120025"/>
        <s v="DE1321341230120026"/>
        <s v="DE1321341230120027"/>
        <s v="DE1321341230120028"/>
        <s v="DE1321341230120029"/>
        <s v="DE1321341230120030"/>
        <s v="DE1321341230120031"/>
        <s v="DE1321341230120032"/>
        <s v="DE1321341230120033"/>
        <s v="DE1321341230120034"/>
        <s v="DE1321341230120035"/>
        <s v="DE1321341230120036"/>
        <s v="DE1321341230120037"/>
        <s v="DE1321341230120038"/>
        <s v="DE1321341230120039"/>
        <s v="DE1321341230120040"/>
        <s v="DE1321341230120041"/>
        <s v="DE1321341230120042"/>
        <s v="DE1321341230120043"/>
        <s v="DE1321341230120044"/>
        <s v="DE1321341230120045"/>
      </sharedItems>
    </cacheField>
    <cacheField name="Kundenname" numFmtId="0">
      <sharedItems count="18">
        <s v="Max Mustermann"/>
        <s v="Maximilian Mustermeier"/>
        <s v="Svenia Schwedenkopf"/>
        <s v="Garage Reparatur"/>
        <s v="Lieschen Müller"/>
        <s v="Eheleute Frau Meier"/>
        <s v="Eheleute Herr Meier"/>
        <s v="Sportverein e.V."/>
        <s v="Lieschen Mustermann"/>
        <s v="Gaby Sabi Haarcoiffure"/>
        <s v="Waschsalon in the City"/>
        <s v="Edelboutique am Bach"/>
        <s v="Wohnanlage gutes Gefühl"/>
        <s v="Meier Schmid"/>
        <s v="Heizungsbau Burgfried"/>
        <s v="Max Reicher-Mann"/>
        <s v="Max Muster-Mann"/>
        <s v="Frau Kapita Linderstrasse"/>
      </sharedItems>
    </cacheField>
    <cacheField name="Kundennummer" numFmtId="0">
      <sharedItems count="19"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</sharedItems>
    </cacheField>
    <cacheField name="Saldo" numFmtId="0">
      <sharedItems containsSemiMixedTypes="0" containsString="0" containsNumber="1" minValue="-4913.57" maxValue="446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DE1321341230923123"/>
    <n v="12324.6"/>
    <x v="0"/>
    <n v="1E-3"/>
  </r>
  <r>
    <s v="DE1321341230123123"/>
    <n v="12324.6"/>
    <x v="0"/>
    <n v="2.3E-3"/>
  </r>
  <r>
    <s v="DE1321341230123124"/>
    <n v="1345.43"/>
    <x v="1"/>
    <n v="2.0999999999999999E-3"/>
  </r>
  <r>
    <s v="DE1321341230123125"/>
    <n v="34541.43"/>
    <x v="2"/>
    <n v="2.2000000000000001E-3"/>
  </r>
  <r>
    <s v="DE1321341230123126"/>
    <n v="341.43"/>
    <x v="3"/>
    <n v="2.0999999999999999E-3"/>
  </r>
  <r>
    <s v="DE1321341230123136"/>
    <n v="1341.43"/>
    <x v="4"/>
    <n v="2.0999999999999999E-3"/>
  </r>
  <r>
    <s v="DE1321341230120006"/>
    <n v="7527.43"/>
    <x v="5"/>
    <n v="2.0999999999999999E-3"/>
  </r>
  <r>
    <s v="DE1321341230120007"/>
    <n v="8348.43"/>
    <x v="6"/>
    <n v="2.0999999999999999E-3"/>
  </r>
  <r>
    <s v="DE1321341230120008"/>
    <n v="9109.43"/>
    <x v="7"/>
    <n v="2.0999999999999999E-3"/>
  </r>
  <r>
    <s v="DE1321341230120009"/>
    <n v="9810.43"/>
    <x v="8"/>
    <n v="2.2000000000000001E-3"/>
  </r>
  <r>
    <s v="DE1321341230120010"/>
    <n v="10451.43"/>
    <x v="9"/>
    <n v="2.0999999999999999E-3"/>
  </r>
  <r>
    <s v="DE1321341230120011"/>
    <n v="11032.43"/>
    <x v="10"/>
    <n v="2.2000000000000001E-3"/>
  </r>
  <r>
    <s v="DE1321341230120012"/>
    <n v="11553.43"/>
    <x v="11"/>
    <n v="2.0999999999999999E-3"/>
  </r>
  <r>
    <s v="DE1321341230120013"/>
    <n v="12014.43"/>
    <x v="12"/>
    <n v="2.5000000000000001E-3"/>
  </r>
  <r>
    <s v="DE1321341230120014"/>
    <n v="12415.43"/>
    <x v="13"/>
    <n v="2.5000000000000001E-3"/>
  </r>
  <r>
    <s v="DE1321341230120015"/>
    <n v="12756.43"/>
    <x v="14"/>
    <n v="2.5000000000000001E-3"/>
  </r>
  <r>
    <s v="DE1321341230120016"/>
    <n v="13037.43"/>
    <x v="15"/>
    <n v="2.5000000000000001E-3"/>
  </r>
  <r>
    <s v="DE1321341230120017"/>
    <n v="13258.43"/>
    <x v="16"/>
    <n v="2.5000000000000001E-3"/>
  </r>
  <r>
    <s v="DE1321341230120018"/>
    <n v="13419.43"/>
    <x v="17"/>
    <n v="2.5000000000000001E-3"/>
  </r>
  <r>
    <s v="DE1321341230120019"/>
    <n v="13520.43"/>
    <x v="18"/>
    <n v="2.5000000000000001E-3"/>
  </r>
  <r>
    <s v="DE1321341230120020"/>
    <n v="13561.43"/>
    <x v="19"/>
    <n v="2.5000000000000001E-3"/>
  </r>
  <r>
    <s v="DE1321341230120021"/>
    <n v="13542.43"/>
    <x v="20"/>
    <n v="2.5000000000000001E-3"/>
  </r>
  <r>
    <s v="DE1321341230120022"/>
    <n v="13463.43"/>
    <x v="21"/>
    <n v="2.5000000000000001E-3"/>
  </r>
  <r>
    <s v="DE1321341230120023"/>
    <n v="13324.43"/>
    <x v="22"/>
    <n v="2.5000000000000001E-3"/>
  </r>
  <r>
    <s v="DE1321341230120024"/>
    <n v="13125.43"/>
    <x v="23"/>
    <n v="1E-3"/>
  </r>
  <r>
    <s v="DE1321341230120025"/>
    <n v="12866.43"/>
    <x v="24"/>
    <n v="1.1999999999999999E-3"/>
  </r>
  <r>
    <s v="DE1321341230120026"/>
    <n v="12547.43"/>
    <x v="25"/>
    <n v="1.1999999999999999E-3"/>
  </r>
  <r>
    <s v="DE1321341230120027"/>
    <n v="12168.43"/>
    <x v="26"/>
    <n v="1.1999999999999999E-3"/>
  </r>
  <r>
    <s v="DE1321341230120028"/>
    <n v="11729.43"/>
    <x v="27"/>
    <n v="1.1999999999999999E-3"/>
  </r>
  <r>
    <s v="DE1321341230120029"/>
    <n v="11230.43"/>
    <x v="28"/>
    <n v="1.1999999999999999E-3"/>
  </r>
  <r>
    <s v="DE1321341230120030"/>
    <n v="10671.43"/>
    <x v="29"/>
    <n v="1.1999999999999999E-3"/>
  </r>
  <r>
    <s v="DE1321341230120031"/>
    <n v="10052.43"/>
    <x v="30"/>
    <n v="1.1999999999999999E-3"/>
  </r>
  <r>
    <s v="DE1321341230120032"/>
    <n v="9373.43"/>
    <x v="31"/>
    <n v="1.1999999999999999E-3"/>
  </r>
  <r>
    <s v="DE1321341230120033"/>
    <n v="8634.43"/>
    <x v="32"/>
    <n v="1.1999999999999999E-3"/>
  </r>
  <r>
    <s v="DE1321341230120034"/>
    <n v="7835.43"/>
    <x v="33"/>
    <n v="1.1999999999999999E-3"/>
  </r>
  <r>
    <s v="DE1321341230120035"/>
    <n v="6976.43"/>
    <x v="34"/>
    <n v="1.1999999999999999E-3"/>
  </r>
  <r>
    <s v="DE1321341230120036"/>
    <n v="6057.43"/>
    <x v="35"/>
    <n v="1.1999999999999999E-3"/>
  </r>
  <r>
    <s v="DE1321341230120037"/>
    <n v="5078.43"/>
    <x v="36"/>
    <n v="1.1999999999999999E-3"/>
  </r>
  <r>
    <s v="DE1321341230120038"/>
    <n v="4039.43"/>
    <x v="37"/>
    <n v="1.1999999999999999E-3"/>
  </r>
  <r>
    <s v="DE1321341230120039"/>
    <n v="2940.43"/>
    <x v="38"/>
    <n v="1.1999999999999999E-3"/>
  </r>
  <r>
    <s v="DE1321341230120040"/>
    <n v="1781.43"/>
    <x v="39"/>
    <n v="1.1999999999999999E-3"/>
  </r>
  <r>
    <s v="DE1321341230120041"/>
    <n v="562.42999999999995"/>
    <x v="40"/>
    <n v="1.1999999999999999E-3"/>
  </r>
  <r>
    <s v="DE1321341230120042"/>
    <n v="-716.57"/>
    <x v="41"/>
    <n v="2.5000000000000001E-3"/>
  </r>
  <r>
    <s v="DE1321341230120043"/>
    <n v="-2055.5700000000002"/>
    <x v="42"/>
    <n v="2.5000000000000001E-3"/>
  </r>
  <r>
    <s v="DE1321341230120044"/>
    <n v="-3454.57"/>
    <x v="43"/>
    <n v="2.5000000000000001E-3"/>
  </r>
  <r>
    <s v="DE1321341230120045"/>
    <n v="-4913.57"/>
    <x v="44"/>
    <n v="2.5000000000000001E-3"/>
  </r>
  <r>
    <s v="DE1321341230120145"/>
    <n v="14913.57"/>
    <x v="44"/>
    <n v="2.50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12324"/>
  </r>
  <r>
    <x v="1"/>
    <x v="1"/>
    <x v="1"/>
    <n v="12324.6"/>
  </r>
  <r>
    <x v="1"/>
    <x v="2"/>
    <x v="2"/>
    <n v="12324.6"/>
  </r>
  <r>
    <x v="2"/>
    <x v="3"/>
    <x v="3"/>
    <n v="44682"/>
  </r>
  <r>
    <x v="3"/>
    <x v="3"/>
    <x v="3"/>
    <n v="34541.43"/>
  </r>
  <r>
    <x v="4"/>
    <x v="3"/>
    <x v="3"/>
    <n v="341.43"/>
  </r>
  <r>
    <x v="5"/>
    <x v="3"/>
    <x v="3"/>
    <n v="1341.43"/>
  </r>
  <r>
    <x v="6"/>
    <x v="4"/>
    <x v="4"/>
    <n v="7527.43"/>
  </r>
  <r>
    <x v="7"/>
    <x v="5"/>
    <x v="5"/>
    <n v="8348.43"/>
  </r>
  <r>
    <x v="8"/>
    <x v="5"/>
    <x v="5"/>
    <n v="9109.43"/>
  </r>
  <r>
    <x v="7"/>
    <x v="6"/>
    <x v="6"/>
    <n v="8348.43"/>
  </r>
  <r>
    <x v="8"/>
    <x v="6"/>
    <x v="6"/>
    <n v="9109.43"/>
  </r>
  <r>
    <x v="9"/>
    <x v="7"/>
    <x v="7"/>
    <n v="9810.43"/>
  </r>
  <r>
    <x v="10"/>
    <x v="0"/>
    <x v="8"/>
    <n v="10451.43"/>
  </r>
  <r>
    <x v="11"/>
    <x v="8"/>
    <x v="9"/>
    <n v="11032.43"/>
  </r>
  <r>
    <x v="12"/>
    <x v="8"/>
    <x v="9"/>
    <n v="11553.43"/>
  </r>
  <r>
    <x v="13"/>
    <x v="9"/>
    <x v="10"/>
    <n v="12014.43"/>
  </r>
  <r>
    <x v="14"/>
    <x v="9"/>
    <x v="10"/>
    <n v="12415.43"/>
  </r>
  <r>
    <x v="15"/>
    <x v="9"/>
    <x v="10"/>
    <n v="12756.43"/>
  </r>
  <r>
    <x v="16"/>
    <x v="10"/>
    <x v="11"/>
    <n v="13037.43"/>
  </r>
  <r>
    <x v="17"/>
    <x v="10"/>
    <x v="11"/>
    <n v="13258.43"/>
  </r>
  <r>
    <x v="18"/>
    <x v="10"/>
    <x v="11"/>
    <n v="13419.43"/>
  </r>
  <r>
    <x v="19"/>
    <x v="10"/>
    <x v="11"/>
    <n v="13520.43"/>
  </r>
  <r>
    <x v="20"/>
    <x v="10"/>
    <x v="11"/>
    <n v="13561.43"/>
  </r>
  <r>
    <x v="21"/>
    <x v="10"/>
    <x v="11"/>
    <n v="13542.43"/>
  </r>
  <r>
    <x v="22"/>
    <x v="11"/>
    <x v="12"/>
    <n v="13463.43"/>
  </r>
  <r>
    <x v="23"/>
    <x v="11"/>
    <x v="12"/>
    <n v="13324.43"/>
  </r>
  <r>
    <x v="24"/>
    <x v="11"/>
    <x v="12"/>
    <n v="13125.43"/>
  </r>
  <r>
    <x v="25"/>
    <x v="11"/>
    <x v="12"/>
    <n v="12866.43"/>
  </r>
  <r>
    <x v="26"/>
    <x v="11"/>
    <x v="12"/>
    <n v="12547.43"/>
  </r>
  <r>
    <x v="27"/>
    <x v="12"/>
    <x v="13"/>
    <n v="12168.43"/>
  </r>
  <r>
    <x v="28"/>
    <x v="12"/>
    <x v="13"/>
    <n v="11729.43"/>
  </r>
  <r>
    <x v="29"/>
    <x v="12"/>
    <x v="13"/>
    <n v="11230.43"/>
  </r>
  <r>
    <x v="30"/>
    <x v="12"/>
    <x v="13"/>
    <n v="10671.43"/>
  </r>
  <r>
    <x v="31"/>
    <x v="12"/>
    <x v="13"/>
    <n v="10052.43"/>
  </r>
  <r>
    <x v="32"/>
    <x v="13"/>
    <x v="14"/>
    <n v="9373.43"/>
  </r>
  <r>
    <x v="33"/>
    <x v="13"/>
    <x v="14"/>
    <n v="8634.43"/>
  </r>
  <r>
    <x v="34"/>
    <x v="13"/>
    <x v="14"/>
    <n v="7835.43"/>
  </r>
  <r>
    <x v="35"/>
    <x v="13"/>
    <x v="14"/>
    <n v="6976.43"/>
  </r>
  <r>
    <x v="36"/>
    <x v="14"/>
    <x v="15"/>
    <n v="6057.43"/>
  </r>
  <r>
    <x v="37"/>
    <x v="14"/>
    <x v="15"/>
    <n v="5078.43"/>
  </r>
  <r>
    <x v="38"/>
    <x v="14"/>
    <x v="15"/>
    <n v="4039.43"/>
  </r>
  <r>
    <x v="39"/>
    <x v="14"/>
    <x v="15"/>
    <n v="2940.43"/>
  </r>
  <r>
    <x v="40"/>
    <x v="15"/>
    <x v="16"/>
    <n v="1781.43"/>
  </r>
  <r>
    <x v="41"/>
    <x v="15"/>
    <x v="16"/>
    <n v="562.42999999999995"/>
  </r>
  <r>
    <x v="42"/>
    <x v="15"/>
    <x v="16"/>
    <n v="-716.57"/>
  </r>
  <r>
    <x v="43"/>
    <x v="16"/>
    <x v="17"/>
    <n v="-2055.5700000000002"/>
  </r>
  <r>
    <x v="44"/>
    <x v="16"/>
    <x v="17"/>
    <n v="-3454.57"/>
  </r>
  <r>
    <x v="45"/>
    <x v="17"/>
    <x v="18"/>
    <n v="-4913.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3E2D9-AD9E-4AEC-9AC8-A9A21BC9E369}" name="PivotTable1" cacheId="1" applyNumberFormats="0" applyBorderFormats="0" applyFontFormats="0" applyPatternFormats="0" applyAlignmentFormats="0" applyWidthHeightFormats="1" dataCaption="Werte" updatedVersion="7" minRefreshableVersion="3" useAutoFormatting="1" colGrandTotals="0" itemPrintTitles="1" createdVersion="7" indent="0" compact="0" compactData="0" gridDropZones="1" multipleFieldFilters="0">
  <location ref="A3:H28" firstHeaderRow="1" firstDataRow="2" firstDataCol="3"/>
  <pivotFields count="4">
    <pivotField axis="axisRow" dataField="1" compact="0" outline="0" showAll="0">
      <items count="47"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0"/>
        <item x="2"/>
        <item x="3"/>
        <item x="4"/>
        <item x="5"/>
        <item x="1"/>
        <item t="default"/>
      </items>
    </pivotField>
    <pivotField axis="axisRow" compact="0" outline="0" showAll="0">
      <items count="19">
        <item sd="0" x="11"/>
        <item sd="0" x="5"/>
        <item sd="0" x="6"/>
        <item sd="0" x="17"/>
        <item sd="0" x="9"/>
        <item x="3"/>
        <item sd="0" x="14"/>
        <item sd="0" x="4"/>
        <item sd="0" x="8"/>
        <item sd="0" x="0"/>
        <item sd="0" x="16"/>
        <item sd="0" x="15"/>
        <item sd="0" x="1"/>
        <item sd="0" x="13"/>
        <item sd="0" x="7"/>
        <item sd="0" x="2"/>
        <item sd="0" x="10"/>
        <item sd="0" x="12"/>
        <item t="default" sd="0"/>
      </items>
    </pivotField>
    <pivotField axis="axisRow" compact="0" outline="0" showAll="0" defaultSubtotal="0">
      <items count="19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2"/>
        <item x="3"/>
        <item x="4"/>
        <item x="5"/>
        <item x="6"/>
        <item x="7"/>
        <item x="8"/>
      </items>
    </pivotField>
    <pivotField dataField="1" compact="0" outline="0" showAll="0"/>
  </pivotFields>
  <rowFields count="3">
    <field x="2"/>
    <field x="1"/>
    <field x="0"/>
  </rowFields>
  <rowItems count="24">
    <i>
      <x/>
      <x v="9"/>
    </i>
    <i>
      <x v="1"/>
      <x v="8"/>
    </i>
    <i>
      <x v="2"/>
      <x v="4"/>
    </i>
    <i>
      <x v="3"/>
      <x v="16"/>
    </i>
    <i>
      <x v="4"/>
      <x/>
    </i>
    <i>
      <x v="5"/>
      <x v="17"/>
    </i>
    <i>
      <x v="6"/>
      <x v="13"/>
    </i>
    <i>
      <x v="7"/>
      <x v="6"/>
    </i>
    <i>
      <x v="8"/>
      <x v="11"/>
    </i>
    <i>
      <x v="9"/>
      <x v="10"/>
    </i>
    <i>
      <x v="10"/>
      <x v="3"/>
    </i>
    <i>
      <x v="11"/>
      <x v="12"/>
    </i>
    <i>
      <x v="12"/>
      <x v="15"/>
    </i>
    <i>
      <x v="13"/>
      <x v="5"/>
      <x v="41"/>
    </i>
    <i r="2">
      <x v="42"/>
    </i>
    <i r="2">
      <x v="43"/>
    </i>
    <i r="2">
      <x v="44"/>
    </i>
    <i t="default" r="1">
      <x v="5"/>
    </i>
    <i>
      <x v="14"/>
      <x v="7"/>
    </i>
    <i>
      <x v="15"/>
      <x v="1"/>
    </i>
    <i>
      <x v="16"/>
      <x v="2"/>
    </i>
    <i>
      <x v="17"/>
      <x v="14"/>
    </i>
    <i>
      <x v="18"/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nzahl von IBAN" fld="0" subtotal="count" baseField="0" baseItem="0"/>
    <dataField name="Summe von Saldo" fld="3" baseField="0" baseItem="0"/>
    <dataField name="Mittelwert von Saldo2" fld="3" subtotal="average" baseField="1" baseItem="13"/>
    <dataField name="Max. von Saldo2" fld="3" subtotal="max" baseField="0" baseItem="30"/>
    <dataField name="Min. von Saldo2" fld="3" subtotal="min" baseField="0" baseItem="3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64D7AD-64EF-4471-8D52-1F000E683C30}" name="PivotTable1" cacheId="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B31" firstHeaderRow="1" firstDataRow="1" firstDataCol="1"/>
  <pivotFields count="6">
    <pivotField showAll="0"/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7">
        <item sd="0" x="0"/>
        <item x="1"/>
        <item sd="0" x="2"/>
        <item sd="0" x="3"/>
        <item x="4"/>
        <item sd="0" x="5"/>
        <item t="default"/>
      </items>
    </pivotField>
    <pivotField axis="axisRow" showAll="0">
      <items count="48">
        <item sd="0" x="0"/>
        <item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x="45"/>
        <item sd="0" x="46"/>
        <item t="default"/>
      </items>
    </pivotField>
  </pivotFields>
  <rowFields count="3">
    <field x="5"/>
    <field x="4"/>
    <field x="2"/>
  </rowFields>
  <rowItems count="28">
    <i>
      <x v="1"/>
    </i>
    <i r="1">
      <x v="1"/>
    </i>
    <i r="2">
      <x v="3"/>
    </i>
    <i r="1">
      <x v="2"/>
    </i>
    <i r="1">
      <x v="3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r="2">
      <x v="2"/>
    </i>
    <i r="2">
      <x v="3"/>
    </i>
    <i r="1">
      <x v="2"/>
    </i>
    <i r="1">
      <x v="3"/>
    </i>
    <i r="1">
      <x v="4"/>
    </i>
    <i r="2">
      <x v="10"/>
    </i>
    <i>
      <x v="35"/>
    </i>
    <i r="1">
      <x v="1"/>
    </i>
    <i r="2">
      <x v="3"/>
    </i>
    <i r="1">
      <x v="2"/>
    </i>
    <i>
      <x v="45"/>
    </i>
    <i r="1">
      <x v="1"/>
    </i>
    <i r="2">
      <x v="3"/>
    </i>
    <i r="1">
      <x v="4"/>
    </i>
    <i r="2">
      <x v="12"/>
    </i>
    <i t="grand">
      <x/>
    </i>
  </rowItems>
  <colItems count="1">
    <i/>
  </colItems>
  <dataFields count="1">
    <dataField name="Summe von Sald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1B521-73B7-45C5-B036-721B0807D26D}">
  <sheetPr codeName="Tabelle1"/>
  <dimension ref="A1:D48"/>
  <sheetViews>
    <sheetView workbookViewId="0">
      <selection activeCell="B9" sqref="B9"/>
    </sheetView>
  </sheetViews>
  <sheetFormatPr baseColWidth="10" defaultRowHeight="15" x14ac:dyDescent="0.25"/>
  <cols>
    <col min="1" max="1" width="27.28515625" customWidth="1"/>
    <col min="2" max="2" width="18.42578125" customWidth="1"/>
    <col min="3" max="3" width="25.140625" bestFit="1" customWidth="1"/>
    <col min="4" max="4" width="17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tr">
        <f>[1]matrixex_Prototyp_ExcelDB_Tree!A1</f>
        <v>DE1321341230923123</v>
      </c>
      <c r="B2">
        <f>VALUE(SUBSTITUTE([1]matrixex_Prototyp_ExcelDB_Tree!B1,".",","))</f>
        <v>12324.6</v>
      </c>
      <c r="C2" s="1">
        <f>[1]matrixex_Prototyp_ExcelDB_Tree!C1</f>
        <v>38058</v>
      </c>
      <c r="D2">
        <f>VALUE(SUBSTITUTE([1]matrixex_Prototyp_ExcelDB_Tree!D1,".",","))</f>
        <v>1E-3</v>
      </c>
    </row>
    <row r="3" spans="1:4" x14ac:dyDescent="0.25">
      <c r="A3" t="str">
        <f>[1]matrixex_Prototyp_ExcelDB_Tree!A2</f>
        <v>DE1321341230123123</v>
      </c>
      <c r="B3">
        <f>VALUE(SUBSTITUTE([1]matrixex_Prototyp_ExcelDB_Tree!B2,".",","))</f>
        <v>12324</v>
      </c>
      <c r="C3" s="1">
        <f>[1]matrixex_Prototyp_ExcelDB_Tree!C2</f>
        <v>38058</v>
      </c>
      <c r="D3">
        <f>VALUE(SUBSTITUTE([1]matrixex_Prototyp_ExcelDB_Tree!D2,".",","))</f>
        <v>2.3E-3</v>
      </c>
    </row>
    <row r="4" spans="1:4" x14ac:dyDescent="0.25">
      <c r="A4" t="str">
        <f>[1]matrixex_Prototyp_ExcelDB_Tree!A3</f>
        <v>DE1321341230123124</v>
      </c>
      <c r="B4">
        <f>VALUE(SUBSTITUTE([1]matrixex_Prototyp_ExcelDB_Tree!B3,".",","))</f>
        <v>44682</v>
      </c>
      <c r="C4" s="1">
        <f>[1]matrixex_Prototyp_ExcelDB_Tree!C3</f>
        <v>38069</v>
      </c>
      <c r="D4">
        <f>VALUE(SUBSTITUTE([1]matrixex_Prototyp_ExcelDB_Tree!D3,".",","))</f>
        <v>2.0999999999999999E-3</v>
      </c>
    </row>
    <row r="5" spans="1:4" x14ac:dyDescent="0.25">
      <c r="A5" t="str">
        <f>[1]matrixex_Prototyp_ExcelDB_Tree!A4</f>
        <v>DE1321341230123125</v>
      </c>
      <c r="B5">
        <f>VALUE(SUBSTITUTE([1]matrixex_Prototyp_ExcelDB_Tree!B4,".",","))</f>
        <v>34541.43</v>
      </c>
      <c r="C5" s="1">
        <f>[1]matrixex_Prototyp_ExcelDB_Tree!C4</f>
        <v>38089</v>
      </c>
      <c r="D5">
        <f>VALUE(SUBSTITUTE([1]matrixex_Prototyp_ExcelDB_Tree!D4,".",","))</f>
        <v>2.2000000000000001E-3</v>
      </c>
    </row>
    <row r="6" spans="1:4" x14ac:dyDescent="0.25">
      <c r="A6" t="str">
        <f>[1]matrixex_Prototyp_ExcelDB_Tree!A5</f>
        <v>DE1321341230123126</v>
      </c>
      <c r="B6">
        <f>VALUE(SUBSTITUTE([1]matrixex_Prototyp_ExcelDB_Tree!B5,".",","))</f>
        <v>341.43</v>
      </c>
      <c r="C6" s="1">
        <f>[1]matrixex_Prototyp_ExcelDB_Tree!C5</f>
        <v>41710</v>
      </c>
      <c r="D6">
        <f>VALUE(SUBSTITUTE([1]matrixex_Prototyp_ExcelDB_Tree!D5,".",","))</f>
        <v>2.0999999999999999E-3</v>
      </c>
    </row>
    <row r="7" spans="1:4" x14ac:dyDescent="0.25">
      <c r="A7" t="str">
        <f>[1]matrixex_Prototyp_ExcelDB_Tree!A6</f>
        <v>DE1321341230123136</v>
      </c>
      <c r="B7">
        <f>VALUE(SUBSTITUTE([1]matrixex_Prototyp_ExcelDB_Tree!B6,".",","))</f>
        <v>1341.43</v>
      </c>
      <c r="C7" s="1">
        <f>[1]matrixex_Prototyp_ExcelDB_Tree!C6</f>
        <v>41985</v>
      </c>
      <c r="D7">
        <f>VALUE(SUBSTITUTE([1]matrixex_Prototyp_ExcelDB_Tree!D6,".",","))</f>
        <v>2.0999999999999999E-3</v>
      </c>
    </row>
    <row r="8" spans="1:4" x14ac:dyDescent="0.25">
      <c r="A8" t="str">
        <f>[1]matrixex_Prototyp_ExcelDB_Tree!A7</f>
        <v>DE1321341230120006</v>
      </c>
      <c r="B8">
        <f>VALUE(SUBSTITUTE([1]matrixex_Prototyp_ExcelDB_Tree!B7,".",","))</f>
        <v>7527.43</v>
      </c>
      <c r="C8" s="1">
        <f>[1]matrixex_Prototyp_ExcelDB_Tree!C7</f>
        <v>25654</v>
      </c>
      <c r="D8">
        <f>VALUE(SUBSTITUTE([1]matrixex_Prototyp_ExcelDB_Tree!D7,".",","))</f>
        <v>2.0999999999999999E-3</v>
      </c>
    </row>
    <row r="9" spans="1:4" x14ac:dyDescent="0.25">
      <c r="A9" t="str">
        <f>[1]matrixex_Prototyp_ExcelDB_Tree!A8</f>
        <v>DE1321341230120007</v>
      </c>
      <c r="B9">
        <f>VALUE(SUBSTITUTE([1]matrixex_Prototyp_ExcelDB_Tree!B8,".",","))</f>
        <v>8348.43</v>
      </c>
      <c r="C9" s="1">
        <f>[1]matrixex_Prototyp_ExcelDB_Tree!C8</f>
        <v>25669</v>
      </c>
      <c r="D9">
        <f>VALUE(SUBSTITUTE([1]matrixex_Prototyp_ExcelDB_Tree!D8,".",","))</f>
        <v>2.0999999999999999E-3</v>
      </c>
    </row>
    <row r="10" spans="1:4" x14ac:dyDescent="0.25">
      <c r="A10" t="str">
        <f>[1]matrixex_Prototyp_ExcelDB_Tree!A9</f>
        <v>DE1321341230120008</v>
      </c>
      <c r="B10">
        <f>VALUE(SUBSTITUTE([1]matrixex_Prototyp_ExcelDB_Tree!B9,".",","))</f>
        <v>9109.43</v>
      </c>
      <c r="C10" s="1">
        <f>[1]matrixex_Prototyp_ExcelDB_Tree!C9</f>
        <v>25683</v>
      </c>
      <c r="D10">
        <f>VALUE(SUBSTITUTE([1]matrixex_Prototyp_ExcelDB_Tree!D9,".",","))</f>
        <v>2.0999999999999999E-3</v>
      </c>
    </row>
    <row r="11" spans="1:4" x14ac:dyDescent="0.25">
      <c r="A11" t="str">
        <f>[1]matrixex_Prototyp_ExcelDB_Tree!A10</f>
        <v>DE1321341230120009</v>
      </c>
      <c r="B11">
        <f>VALUE(SUBSTITUTE([1]matrixex_Prototyp_ExcelDB_Tree!B10,".",","))</f>
        <v>9810.43</v>
      </c>
      <c r="C11" s="1">
        <f>[1]matrixex_Prototyp_ExcelDB_Tree!C10</f>
        <v>25697</v>
      </c>
      <c r="D11">
        <f>VALUE(SUBSTITUTE([1]matrixex_Prototyp_ExcelDB_Tree!D10,".",","))</f>
        <v>2.2000000000000001E-3</v>
      </c>
    </row>
    <row r="12" spans="1:4" x14ac:dyDescent="0.25">
      <c r="A12" t="str">
        <f>[1]matrixex_Prototyp_ExcelDB_Tree!A11</f>
        <v>DE1321341230120010</v>
      </c>
      <c r="B12">
        <f>VALUE(SUBSTITUTE([1]matrixex_Prototyp_ExcelDB_Tree!B11,".",","))</f>
        <v>10451.43</v>
      </c>
      <c r="C12" s="1">
        <f>[1]matrixex_Prototyp_ExcelDB_Tree!C11</f>
        <v>25712</v>
      </c>
      <c r="D12">
        <f>VALUE(SUBSTITUTE([1]matrixex_Prototyp_ExcelDB_Tree!D11,".",","))</f>
        <v>2.0999999999999999E-3</v>
      </c>
    </row>
    <row r="13" spans="1:4" x14ac:dyDescent="0.25">
      <c r="A13" t="str">
        <f>[1]matrixex_Prototyp_ExcelDB_Tree!A12</f>
        <v>DE1321341230120011</v>
      </c>
      <c r="B13">
        <f>VALUE(SUBSTITUTE([1]matrixex_Prototyp_ExcelDB_Tree!B12,".",","))</f>
        <v>11032.43</v>
      </c>
      <c r="C13" s="1">
        <f>[1]matrixex_Prototyp_ExcelDB_Tree!C12</f>
        <v>25726</v>
      </c>
      <c r="D13">
        <f>VALUE(SUBSTITUTE([1]matrixex_Prototyp_ExcelDB_Tree!D12,".",","))</f>
        <v>2.2000000000000001E-3</v>
      </c>
    </row>
    <row r="14" spans="1:4" x14ac:dyDescent="0.25">
      <c r="A14" t="str">
        <f>[1]matrixex_Prototyp_ExcelDB_Tree!A13</f>
        <v>DE1321341230120012</v>
      </c>
      <c r="B14">
        <f>VALUE(SUBSTITUTE([1]matrixex_Prototyp_ExcelDB_Tree!B13,".",","))</f>
        <v>11553.43</v>
      </c>
      <c r="C14" s="1">
        <f>[1]matrixex_Prototyp_ExcelDB_Tree!C13</f>
        <v>25740</v>
      </c>
      <c r="D14">
        <f>VALUE(SUBSTITUTE([1]matrixex_Prototyp_ExcelDB_Tree!D13,".",","))</f>
        <v>2.0999999999999999E-3</v>
      </c>
    </row>
    <row r="15" spans="1:4" x14ac:dyDescent="0.25">
      <c r="A15" t="str">
        <f>[1]matrixex_Prototyp_ExcelDB_Tree!A14</f>
        <v>DE1321341230120013</v>
      </c>
      <c r="B15">
        <f>VALUE(SUBSTITUTE([1]matrixex_Prototyp_ExcelDB_Tree!B14,".",","))</f>
        <v>12014.43</v>
      </c>
      <c r="C15" s="1">
        <f>[1]matrixex_Prototyp_ExcelDB_Tree!C14</f>
        <v>25754</v>
      </c>
      <c r="D15">
        <f>VALUE(SUBSTITUTE([1]matrixex_Prototyp_ExcelDB_Tree!D14,".",","))</f>
        <v>2.5000000000000001E-3</v>
      </c>
    </row>
    <row r="16" spans="1:4" x14ac:dyDescent="0.25">
      <c r="A16" t="str">
        <f>[1]matrixex_Prototyp_ExcelDB_Tree!A15</f>
        <v>DE1321341230120014</v>
      </c>
      <c r="B16">
        <f>VALUE(SUBSTITUTE([1]matrixex_Prototyp_ExcelDB_Tree!B15,".",","))</f>
        <v>12415.43</v>
      </c>
      <c r="C16" s="1">
        <f>[1]matrixex_Prototyp_ExcelDB_Tree!C15</f>
        <v>25769</v>
      </c>
      <c r="D16">
        <f>VALUE(SUBSTITUTE([1]matrixex_Prototyp_ExcelDB_Tree!D15,".",","))</f>
        <v>2.5000000000000001E-3</v>
      </c>
    </row>
    <row r="17" spans="1:4" x14ac:dyDescent="0.25">
      <c r="A17" t="str">
        <f>[1]matrixex_Prototyp_ExcelDB_Tree!A16</f>
        <v>DE1321341230120015</v>
      </c>
      <c r="B17">
        <f>VALUE(SUBSTITUTE([1]matrixex_Prototyp_ExcelDB_Tree!B16,".",","))</f>
        <v>12756.43</v>
      </c>
      <c r="C17" s="1">
        <f>[1]matrixex_Prototyp_ExcelDB_Tree!C16</f>
        <v>25783</v>
      </c>
      <c r="D17">
        <f>VALUE(SUBSTITUTE([1]matrixex_Prototyp_ExcelDB_Tree!D16,".",","))</f>
        <v>2.5000000000000001E-3</v>
      </c>
    </row>
    <row r="18" spans="1:4" x14ac:dyDescent="0.25">
      <c r="A18" t="str">
        <f>[1]matrixex_Prototyp_ExcelDB_Tree!A17</f>
        <v>DE1321341230120016</v>
      </c>
      <c r="B18">
        <f>VALUE(SUBSTITUTE([1]matrixex_Prototyp_ExcelDB_Tree!B17,".",","))</f>
        <v>13037.43</v>
      </c>
      <c r="C18" s="1">
        <f>[1]matrixex_Prototyp_ExcelDB_Tree!C17</f>
        <v>25797</v>
      </c>
      <c r="D18">
        <f>VALUE(SUBSTITUTE([1]matrixex_Prototyp_ExcelDB_Tree!D17,".",","))</f>
        <v>2.5000000000000001E-3</v>
      </c>
    </row>
    <row r="19" spans="1:4" x14ac:dyDescent="0.25">
      <c r="A19" t="str">
        <f>[1]matrixex_Prototyp_ExcelDB_Tree!A18</f>
        <v>DE1321341230120017</v>
      </c>
      <c r="B19">
        <f>VALUE(SUBSTITUTE([1]matrixex_Prototyp_ExcelDB_Tree!B18,".",","))</f>
        <v>13258.43</v>
      </c>
      <c r="C19" s="1">
        <f>[1]matrixex_Prototyp_ExcelDB_Tree!C18</f>
        <v>25812</v>
      </c>
      <c r="D19">
        <f>VALUE(SUBSTITUTE([1]matrixex_Prototyp_ExcelDB_Tree!D18,".",","))</f>
        <v>2.5000000000000001E-3</v>
      </c>
    </row>
    <row r="20" spans="1:4" x14ac:dyDescent="0.25">
      <c r="A20" t="str">
        <f>[1]matrixex_Prototyp_ExcelDB_Tree!A19</f>
        <v>DE1321341230120018</v>
      </c>
      <c r="B20">
        <f>VALUE(SUBSTITUTE([1]matrixex_Prototyp_ExcelDB_Tree!B19,".",","))</f>
        <v>13419.43</v>
      </c>
      <c r="C20" s="1">
        <f>[1]matrixex_Prototyp_ExcelDB_Tree!C19</f>
        <v>25826</v>
      </c>
      <c r="D20">
        <f>VALUE(SUBSTITUTE([1]matrixex_Prototyp_ExcelDB_Tree!D19,".",","))</f>
        <v>2.5000000000000001E-3</v>
      </c>
    </row>
    <row r="21" spans="1:4" x14ac:dyDescent="0.25">
      <c r="A21" t="str">
        <f>[1]matrixex_Prototyp_ExcelDB_Tree!A20</f>
        <v>DE1321341230120019</v>
      </c>
      <c r="B21">
        <f>VALUE(SUBSTITUTE([1]matrixex_Prototyp_ExcelDB_Tree!B20,".",","))</f>
        <v>13520.43</v>
      </c>
      <c r="C21" s="1">
        <f>[1]matrixex_Prototyp_ExcelDB_Tree!C20</f>
        <v>25840</v>
      </c>
      <c r="D21">
        <f>VALUE(SUBSTITUTE([1]matrixex_Prototyp_ExcelDB_Tree!D20,".",","))</f>
        <v>2.5000000000000001E-3</v>
      </c>
    </row>
    <row r="22" spans="1:4" x14ac:dyDescent="0.25">
      <c r="A22" t="str">
        <f>[1]matrixex_Prototyp_ExcelDB_Tree!A21</f>
        <v>DE1321341230120020</v>
      </c>
      <c r="B22">
        <f>VALUE(SUBSTITUTE([1]matrixex_Prototyp_ExcelDB_Tree!B21,".",","))</f>
        <v>13561.43</v>
      </c>
      <c r="C22" s="1">
        <f>[1]matrixex_Prototyp_ExcelDB_Tree!C21</f>
        <v>25855</v>
      </c>
      <c r="D22">
        <f>VALUE(SUBSTITUTE([1]matrixex_Prototyp_ExcelDB_Tree!D21,".",","))</f>
        <v>2.5000000000000001E-3</v>
      </c>
    </row>
    <row r="23" spans="1:4" x14ac:dyDescent="0.25">
      <c r="A23" t="str">
        <f>[1]matrixex_Prototyp_ExcelDB_Tree!A22</f>
        <v>DE1321341230120021</v>
      </c>
      <c r="B23">
        <f>VALUE(SUBSTITUTE([1]matrixex_Prototyp_ExcelDB_Tree!B22,".",","))</f>
        <v>13542.43</v>
      </c>
      <c r="C23" s="1">
        <f>[1]matrixex_Prototyp_ExcelDB_Tree!C22</f>
        <v>25869</v>
      </c>
      <c r="D23">
        <f>VALUE(SUBSTITUTE([1]matrixex_Prototyp_ExcelDB_Tree!D22,".",","))</f>
        <v>2.5000000000000001E-3</v>
      </c>
    </row>
    <row r="24" spans="1:4" x14ac:dyDescent="0.25">
      <c r="A24" t="str">
        <f>[1]matrixex_Prototyp_ExcelDB_Tree!A23</f>
        <v>DE1321341230120022</v>
      </c>
      <c r="B24">
        <f>VALUE(SUBSTITUTE([1]matrixex_Prototyp_ExcelDB_Tree!B23,".",","))</f>
        <v>13463.43</v>
      </c>
      <c r="C24" s="1">
        <f>[1]matrixex_Prototyp_ExcelDB_Tree!C23</f>
        <v>25883</v>
      </c>
      <c r="D24">
        <f>VALUE(SUBSTITUTE([1]matrixex_Prototyp_ExcelDB_Tree!D23,".",","))</f>
        <v>2.5000000000000001E-3</v>
      </c>
    </row>
    <row r="25" spans="1:4" x14ac:dyDescent="0.25">
      <c r="A25" t="str">
        <f>[1]matrixex_Prototyp_ExcelDB_Tree!A24</f>
        <v>DE1321341230120023</v>
      </c>
      <c r="B25">
        <f>VALUE(SUBSTITUTE([1]matrixex_Prototyp_ExcelDB_Tree!B24,".",","))</f>
        <v>13324.43</v>
      </c>
      <c r="C25" s="1">
        <f>[1]matrixex_Prototyp_ExcelDB_Tree!C24</f>
        <v>25897</v>
      </c>
      <c r="D25">
        <f>VALUE(SUBSTITUTE([1]matrixex_Prototyp_ExcelDB_Tree!D24,".",","))</f>
        <v>2.5000000000000001E-3</v>
      </c>
    </row>
    <row r="26" spans="1:4" x14ac:dyDescent="0.25">
      <c r="A26" t="str">
        <f>[1]matrixex_Prototyp_ExcelDB_Tree!A25</f>
        <v>DE1321341230120024</v>
      </c>
      <c r="B26">
        <f>VALUE(SUBSTITUTE([1]matrixex_Prototyp_ExcelDB_Tree!B25,".",","))</f>
        <v>13125.43</v>
      </c>
      <c r="C26" s="1">
        <f>[1]matrixex_Prototyp_ExcelDB_Tree!C25</f>
        <v>25912</v>
      </c>
      <c r="D26">
        <f>VALUE(SUBSTITUTE([1]matrixex_Prototyp_ExcelDB_Tree!D25,".",","))</f>
        <v>1E-3</v>
      </c>
    </row>
    <row r="27" spans="1:4" x14ac:dyDescent="0.25">
      <c r="A27" t="str">
        <f>[1]matrixex_Prototyp_ExcelDB_Tree!A26</f>
        <v>DE1321341230120025</v>
      </c>
      <c r="B27">
        <f>VALUE(SUBSTITUTE([1]matrixex_Prototyp_ExcelDB_Tree!B26,".",","))</f>
        <v>12866.43</v>
      </c>
      <c r="C27" s="1">
        <f>[1]matrixex_Prototyp_ExcelDB_Tree!C26</f>
        <v>25926</v>
      </c>
      <c r="D27">
        <f>VALUE(SUBSTITUTE([1]matrixex_Prototyp_ExcelDB_Tree!D26,".",","))</f>
        <v>1.1999999999999999E-3</v>
      </c>
    </row>
    <row r="28" spans="1:4" x14ac:dyDescent="0.25">
      <c r="A28" t="str">
        <f>[1]matrixex_Prototyp_ExcelDB_Tree!A27</f>
        <v>DE1321341230120026</v>
      </c>
      <c r="B28">
        <f>VALUE(SUBSTITUTE([1]matrixex_Prototyp_ExcelDB_Tree!B27,".",","))</f>
        <v>12547.43</v>
      </c>
      <c r="C28" s="1">
        <f>[1]matrixex_Prototyp_ExcelDB_Tree!C27</f>
        <v>25940</v>
      </c>
      <c r="D28">
        <f>VALUE(SUBSTITUTE([1]matrixex_Prototyp_ExcelDB_Tree!D27,".",","))</f>
        <v>1.1999999999999999E-3</v>
      </c>
    </row>
    <row r="29" spans="1:4" x14ac:dyDescent="0.25">
      <c r="A29" t="str">
        <f>[1]matrixex_Prototyp_ExcelDB_Tree!A28</f>
        <v>DE1321341230120027</v>
      </c>
      <c r="B29">
        <f>VALUE(SUBSTITUTE([1]matrixex_Prototyp_ExcelDB_Tree!B28,".",","))</f>
        <v>12168.43</v>
      </c>
      <c r="C29" s="1">
        <f>[1]matrixex_Prototyp_ExcelDB_Tree!C28</f>
        <v>25955</v>
      </c>
      <c r="D29">
        <f>VALUE(SUBSTITUTE([1]matrixex_Prototyp_ExcelDB_Tree!D28,".",","))</f>
        <v>1.1999999999999999E-3</v>
      </c>
    </row>
    <row r="30" spans="1:4" x14ac:dyDescent="0.25">
      <c r="A30" t="str">
        <f>[1]matrixex_Prototyp_ExcelDB_Tree!A29</f>
        <v>DE1321341230120028</v>
      </c>
      <c r="B30">
        <f>VALUE(SUBSTITUTE([1]matrixex_Prototyp_ExcelDB_Tree!B29,".",","))</f>
        <v>11729.43</v>
      </c>
      <c r="C30" s="1">
        <f>[1]matrixex_Prototyp_ExcelDB_Tree!C29</f>
        <v>25969</v>
      </c>
      <c r="D30">
        <f>VALUE(SUBSTITUTE([1]matrixex_Prototyp_ExcelDB_Tree!D29,".",","))</f>
        <v>1.1999999999999999E-3</v>
      </c>
    </row>
    <row r="31" spans="1:4" x14ac:dyDescent="0.25">
      <c r="A31" t="str">
        <f>[1]matrixex_Prototyp_ExcelDB_Tree!A30</f>
        <v>DE1321341230120029</v>
      </c>
      <c r="B31">
        <f>VALUE(SUBSTITUTE([1]matrixex_Prototyp_ExcelDB_Tree!B30,".",","))</f>
        <v>11230.43</v>
      </c>
      <c r="C31" s="1">
        <f>[1]matrixex_Prototyp_ExcelDB_Tree!C30</f>
        <v>25983</v>
      </c>
      <c r="D31">
        <f>VALUE(SUBSTITUTE([1]matrixex_Prototyp_ExcelDB_Tree!D30,".",","))</f>
        <v>1.1999999999999999E-3</v>
      </c>
    </row>
    <row r="32" spans="1:4" x14ac:dyDescent="0.25">
      <c r="A32" t="str">
        <f>[1]matrixex_Prototyp_ExcelDB_Tree!A31</f>
        <v>DE1321341230120030</v>
      </c>
      <c r="B32">
        <f>VALUE(SUBSTITUTE([1]matrixex_Prototyp_ExcelDB_Tree!B31,".",","))</f>
        <v>10671.43</v>
      </c>
      <c r="C32" s="1">
        <f>[1]matrixex_Prototyp_ExcelDB_Tree!C31</f>
        <v>25997</v>
      </c>
      <c r="D32">
        <f>VALUE(SUBSTITUTE([1]matrixex_Prototyp_ExcelDB_Tree!D31,".",","))</f>
        <v>1.1999999999999999E-3</v>
      </c>
    </row>
    <row r="33" spans="1:4" x14ac:dyDescent="0.25">
      <c r="A33" t="str">
        <f>[1]matrixex_Prototyp_ExcelDB_Tree!A32</f>
        <v>DE1321341230120031</v>
      </c>
      <c r="B33">
        <f>VALUE(SUBSTITUTE([1]matrixex_Prototyp_ExcelDB_Tree!B32,".",","))</f>
        <v>10052.43</v>
      </c>
      <c r="C33" s="1">
        <f>[1]matrixex_Prototyp_ExcelDB_Tree!C32</f>
        <v>26012</v>
      </c>
      <c r="D33">
        <f>VALUE(SUBSTITUTE([1]matrixex_Prototyp_ExcelDB_Tree!D32,".",","))</f>
        <v>1.1999999999999999E-3</v>
      </c>
    </row>
    <row r="34" spans="1:4" x14ac:dyDescent="0.25">
      <c r="A34" t="str">
        <f>[1]matrixex_Prototyp_ExcelDB_Tree!A33</f>
        <v>DE1321341230120032</v>
      </c>
      <c r="B34">
        <f>VALUE(SUBSTITUTE([1]matrixex_Prototyp_ExcelDB_Tree!B33,".",","))</f>
        <v>9373.43</v>
      </c>
      <c r="C34" s="1">
        <f>[1]matrixex_Prototyp_ExcelDB_Tree!C33</f>
        <v>26026</v>
      </c>
      <c r="D34">
        <f>VALUE(SUBSTITUTE([1]matrixex_Prototyp_ExcelDB_Tree!D33,".",","))</f>
        <v>1.1999999999999999E-3</v>
      </c>
    </row>
    <row r="35" spans="1:4" x14ac:dyDescent="0.25">
      <c r="A35" t="str">
        <f>[1]matrixex_Prototyp_ExcelDB_Tree!A34</f>
        <v>DE1321341230120033</v>
      </c>
      <c r="B35">
        <f>VALUE(SUBSTITUTE([1]matrixex_Prototyp_ExcelDB_Tree!B34,".",","))</f>
        <v>8634.43</v>
      </c>
      <c r="C35" s="1">
        <f>[1]matrixex_Prototyp_ExcelDB_Tree!C34</f>
        <v>26040</v>
      </c>
      <c r="D35">
        <f>VALUE(SUBSTITUTE([1]matrixex_Prototyp_ExcelDB_Tree!D34,".",","))</f>
        <v>1.1999999999999999E-3</v>
      </c>
    </row>
    <row r="36" spans="1:4" x14ac:dyDescent="0.25">
      <c r="A36" t="str">
        <f>[1]matrixex_Prototyp_ExcelDB_Tree!A35</f>
        <v>DE1321341230120034</v>
      </c>
      <c r="B36">
        <f>VALUE(SUBSTITUTE([1]matrixex_Prototyp_ExcelDB_Tree!B35,".",","))</f>
        <v>7835.43</v>
      </c>
      <c r="C36" s="1">
        <f>[1]matrixex_Prototyp_ExcelDB_Tree!C35</f>
        <v>26055</v>
      </c>
      <c r="D36">
        <f>VALUE(SUBSTITUTE([1]matrixex_Prototyp_ExcelDB_Tree!D35,".",","))</f>
        <v>1.1999999999999999E-3</v>
      </c>
    </row>
    <row r="37" spans="1:4" x14ac:dyDescent="0.25">
      <c r="A37" t="str">
        <f>[1]matrixex_Prototyp_ExcelDB_Tree!A36</f>
        <v>DE1321341230120035</v>
      </c>
      <c r="B37">
        <f>VALUE(SUBSTITUTE([1]matrixex_Prototyp_ExcelDB_Tree!B36,".",","))</f>
        <v>6976.43</v>
      </c>
      <c r="C37" s="1">
        <f>[1]matrixex_Prototyp_ExcelDB_Tree!C36</f>
        <v>26069</v>
      </c>
      <c r="D37">
        <f>VALUE(SUBSTITUTE([1]matrixex_Prototyp_ExcelDB_Tree!D36,".",","))</f>
        <v>1.1999999999999999E-3</v>
      </c>
    </row>
    <row r="38" spans="1:4" x14ac:dyDescent="0.25">
      <c r="A38" t="str">
        <f>[1]matrixex_Prototyp_ExcelDB_Tree!A37</f>
        <v>DE1321341230120036</v>
      </c>
      <c r="B38">
        <f>VALUE(SUBSTITUTE([1]matrixex_Prototyp_ExcelDB_Tree!B37,".",","))</f>
        <v>6057.43</v>
      </c>
      <c r="C38" s="1">
        <f>[1]matrixex_Prototyp_ExcelDB_Tree!C37</f>
        <v>26083</v>
      </c>
      <c r="D38">
        <f>VALUE(SUBSTITUTE([1]matrixex_Prototyp_ExcelDB_Tree!D37,".",","))</f>
        <v>1.1999999999999999E-3</v>
      </c>
    </row>
    <row r="39" spans="1:4" x14ac:dyDescent="0.25">
      <c r="A39" t="str">
        <f>[1]matrixex_Prototyp_ExcelDB_Tree!A38</f>
        <v>DE1321341230120037</v>
      </c>
      <c r="B39">
        <f>VALUE(SUBSTITUTE([1]matrixex_Prototyp_ExcelDB_Tree!B38,".",","))</f>
        <v>5078.43</v>
      </c>
      <c r="C39" s="1">
        <f>[1]matrixex_Prototyp_ExcelDB_Tree!C38</f>
        <v>26098</v>
      </c>
      <c r="D39">
        <f>VALUE(SUBSTITUTE([1]matrixex_Prototyp_ExcelDB_Tree!D38,".",","))</f>
        <v>1.1999999999999999E-3</v>
      </c>
    </row>
    <row r="40" spans="1:4" x14ac:dyDescent="0.25">
      <c r="A40" t="str">
        <f>[1]matrixex_Prototyp_ExcelDB_Tree!A39</f>
        <v>DE1321341230120038</v>
      </c>
      <c r="B40">
        <f>VALUE(SUBSTITUTE([1]matrixex_Prototyp_ExcelDB_Tree!B39,".",","))</f>
        <v>4039.43</v>
      </c>
      <c r="C40" s="1">
        <f>[1]matrixex_Prototyp_ExcelDB_Tree!C39</f>
        <v>26112</v>
      </c>
      <c r="D40">
        <f>VALUE(SUBSTITUTE([1]matrixex_Prototyp_ExcelDB_Tree!D39,".",","))</f>
        <v>1.1999999999999999E-3</v>
      </c>
    </row>
    <row r="41" spans="1:4" x14ac:dyDescent="0.25">
      <c r="A41" t="str">
        <f>[1]matrixex_Prototyp_ExcelDB_Tree!A40</f>
        <v>DE1321341230120039</v>
      </c>
      <c r="B41">
        <f>VALUE(SUBSTITUTE([1]matrixex_Prototyp_ExcelDB_Tree!B40,".",","))</f>
        <v>2940.43</v>
      </c>
      <c r="C41" s="1">
        <f>[1]matrixex_Prototyp_ExcelDB_Tree!C40</f>
        <v>26126</v>
      </c>
      <c r="D41">
        <f>VALUE(SUBSTITUTE([1]matrixex_Prototyp_ExcelDB_Tree!D40,".",","))</f>
        <v>1.1999999999999999E-3</v>
      </c>
    </row>
    <row r="42" spans="1:4" x14ac:dyDescent="0.25">
      <c r="A42" t="str">
        <f>[1]matrixex_Prototyp_ExcelDB_Tree!A41</f>
        <v>DE1321341230120040</v>
      </c>
      <c r="B42">
        <f>VALUE(SUBSTITUTE([1]matrixex_Prototyp_ExcelDB_Tree!B41,".",","))</f>
        <v>1781.43</v>
      </c>
      <c r="C42" s="1">
        <f>[1]matrixex_Prototyp_ExcelDB_Tree!C41</f>
        <v>26140</v>
      </c>
      <c r="D42">
        <f>VALUE(SUBSTITUTE([1]matrixex_Prototyp_ExcelDB_Tree!D41,".",","))</f>
        <v>1.1999999999999999E-3</v>
      </c>
    </row>
    <row r="43" spans="1:4" x14ac:dyDescent="0.25">
      <c r="A43" t="str">
        <f>[1]matrixex_Prototyp_ExcelDB_Tree!A42</f>
        <v>DE1321341230120041</v>
      </c>
      <c r="B43">
        <f>VALUE(SUBSTITUTE([1]matrixex_Prototyp_ExcelDB_Tree!B42,".",","))</f>
        <v>562.42999999999995</v>
      </c>
      <c r="C43" s="1">
        <f>[1]matrixex_Prototyp_ExcelDB_Tree!C42</f>
        <v>26155</v>
      </c>
      <c r="D43">
        <f>VALUE(SUBSTITUTE([1]matrixex_Prototyp_ExcelDB_Tree!D42,".",","))</f>
        <v>1.1999999999999999E-3</v>
      </c>
    </row>
    <row r="44" spans="1:4" x14ac:dyDescent="0.25">
      <c r="A44" t="str">
        <f>[1]matrixex_Prototyp_ExcelDB_Tree!A43</f>
        <v>DE1321341230120042</v>
      </c>
      <c r="B44">
        <f>VALUE(SUBSTITUTE([1]matrixex_Prototyp_ExcelDB_Tree!B43,".",","))</f>
        <v>-716.57</v>
      </c>
      <c r="C44" s="1">
        <f>[1]matrixex_Prototyp_ExcelDB_Tree!C43</f>
        <v>26169</v>
      </c>
      <c r="D44">
        <f>VALUE(SUBSTITUTE([1]matrixex_Prototyp_ExcelDB_Tree!D43,".",","))</f>
        <v>2.5000000000000001E-3</v>
      </c>
    </row>
    <row r="45" spans="1:4" x14ac:dyDescent="0.25">
      <c r="A45" t="str">
        <f>[1]matrixex_Prototyp_ExcelDB_Tree!A44</f>
        <v>DE1321341230120043</v>
      </c>
      <c r="B45">
        <f>VALUE(SUBSTITUTE([1]matrixex_Prototyp_ExcelDB_Tree!B44,".",","))</f>
        <v>-2055.5700000000002</v>
      </c>
      <c r="C45" s="1">
        <f>[1]matrixex_Prototyp_ExcelDB_Tree!C44</f>
        <v>26183</v>
      </c>
      <c r="D45">
        <f>VALUE(SUBSTITUTE([1]matrixex_Prototyp_ExcelDB_Tree!D44,".",","))</f>
        <v>2.5000000000000001E-3</v>
      </c>
    </row>
    <row r="46" spans="1:4" x14ac:dyDescent="0.25">
      <c r="A46" t="str">
        <f>[1]matrixex_Prototyp_ExcelDB_Tree!A45</f>
        <v>DE1321341230120044</v>
      </c>
      <c r="B46">
        <f>VALUE(SUBSTITUTE([1]matrixex_Prototyp_ExcelDB_Tree!B45,".",","))</f>
        <v>-3454.57</v>
      </c>
      <c r="C46" s="1">
        <f>[1]matrixex_Prototyp_ExcelDB_Tree!C45</f>
        <v>26198</v>
      </c>
      <c r="D46">
        <f>VALUE(SUBSTITUTE([1]matrixex_Prototyp_ExcelDB_Tree!D45,".",","))</f>
        <v>2.5000000000000001E-3</v>
      </c>
    </row>
    <row r="47" spans="1:4" x14ac:dyDescent="0.25">
      <c r="A47" t="str">
        <f>[1]matrixex_Prototyp_ExcelDB_Tree!A46</f>
        <v>DE1321341230120045</v>
      </c>
      <c r="B47">
        <f>VALUE(SUBSTITUTE([1]matrixex_Prototyp_ExcelDB_Tree!B46,".",","))</f>
        <v>-4913.57</v>
      </c>
      <c r="C47" s="1">
        <f>[1]matrixex_Prototyp_ExcelDB_Tree!C46</f>
        <v>26212</v>
      </c>
      <c r="D47">
        <f>VALUE(SUBSTITUTE([1]matrixex_Prototyp_ExcelDB_Tree!D46,".",","))</f>
        <v>2.5000000000000001E-3</v>
      </c>
    </row>
    <row r="48" spans="1:4" x14ac:dyDescent="0.25">
      <c r="A48" t="str">
        <f>[1]matrixex_Prototyp_ExcelDB_Tree!A47</f>
        <v>DE1321341230120145</v>
      </c>
      <c r="B48">
        <f>VALUE(SUBSTITUTE([1]matrixex_Prototyp_ExcelDB_Tree!B47,".",","))</f>
        <v>14913.57</v>
      </c>
      <c r="C48" s="1">
        <f>[1]matrixex_Prototyp_ExcelDB_Tree!C47</f>
        <v>26212</v>
      </c>
      <c r="D48">
        <f>VALUE(SUBSTITUTE([1]matrixex_Prototyp_ExcelDB_Tree!D47,".",","))</f>
        <v>2.5000000000000001E-3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B6846-0AEA-4C24-941B-B8699587B873}">
  <sheetPr codeName="Tabelle2"/>
  <dimension ref="A3:H28"/>
  <sheetViews>
    <sheetView workbookViewId="0">
      <selection activeCell="J8" sqref="J8"/>
    </sheetView>
  </sheetViews>
  <sheetFormatPr baseColWidth="10" defaultRowHeight="15" x14ac:dyDescent="0.25"/>
  <cols>
    <col min="1" max="2" width="24.140625" bestFit="1" customWidth="1"/>
    <col min="3" max="3" width="19.42578125" bestFit="1" customWidth="1"/>
    <col min="4" max="4" width="15.5703125" bestFit="1" customWidth="1"/>
    <col min="5" max="5" width="16.85546875" bestFit="1" customWidth="1"/>
    <col min="6" max="6" width="20.85546875" bestFit="1" customWidth="1"/>
    <col min="7" max="7" width="15.42578125" bestFit="1" customWidth="1"/>
    <col min="8" max="8" width="15.140625" bestFit="1" customWidth="1"/>
    <col min="9" max="9" width="9" bestFit="1" customWidth="1"/>
    <col min="10" max="10" width="8" bestFit="1" customWidth="1"/>
    <col min="11" max="12" width="8.7109375" bestFit="1" customWidth="1"/>
    <col min="13" max="14" width="8" bestFit="1" customWidth="1"/>
    <col min="15" max="15" width="9" bestFit="1" customWidth="1"/>
    <col min="16" max="16" width="8" bestFit="1" customWidth="1"/>
    <col min="17" max="18" width="9" bestFit="1" customWidth="1"/>
    <col min="19" max="19" width="8" bestFit="1" customWidth="1"/>
    <col min="20" max="20" width="9" bestFit="1" customWidth="1"/>
    <col min="21" max="21" width="15.5703125" bestFit="1" customWidth="1"/>
  </cols>
  <sheetData>
    <row r="3" spans="1:8" x14ac:dyDescent="0.25">
      <c r="D3" s="3" t="s">
        <v>106</v>
      </c>
    </row>
    <row r="4" spans="1:8" x14ac:dyDescent="0.25">
      <c r="A4" s="3" t="s">
        <v>22</v>
      </c>
      <c r="B4" s="3" t="s">
        <v>21</v>
      </c>
      <c r="C4" s="3" t="s">
        <v>0</v>
      </c>
      <c r="D4" t="s">
        <v>107</v>
      </c>
      <c r="E4" t="s">
        <v>4</v>
      </c>
      <c r="F4" t="s">
        <v>108</v>
      </c>
      <c r="G4" t="s">
        <v>109</v>
      </c>
      <c r="H4" t="s">
        <v>110</v>
      </c>
    </row>
    <row r="5" spans="1:8" x14ac:dyDescent="0.25">
      <c r="A5" t="s">
        <v>25</v>
      </c>
      <c r="B5" t="s">
        <v>24</v>
      </c>
      <c r="D5" s="2">
        <v>1</v>
      </c>
      <c r="E5" s="2">
        <v>12324</v>
      </c>
      <c r="F5" s="2">
        <v>12324</v>
      </c>
      <c r="G5" s="2">
        <v>12324</v>
      </c>
      <c r="H5" s="2">
        <v>12324</v>
      </c>
    </row>
    <row r="6" spans="1:8" x14ac:dyDescent="0.25">
      <c r="A6" t="s">
        <v>53</v>
      </c>
      <c r="B6" t="s">
        <v>52</v>
      </c>
      <c r="D6" s="2">
        <v>2</v>
      </c>
      <c r="E6" s="2">
        <v>22585.86</v>
      </c>
      <c r="F6" s="2">
        <v>11292.93</v>
      </c>
      <c r="G6" s="2">
        <v>11553.43</v>
      </c>
      <c r="H6" s="2">
        <v>11032.43</v>
      </c>
    </row>
    <row r="7" spans="1:8" x14ac:dyDescent="0.25">
      <c r="A7" t="s">
        <v>57</v>
      </c>
      <c r="B7" t="s">
        <v>56</v>
      </c>
      <c r="D7" s="2">
        <v>3</v>
      </c>
      <c r="E7" s="2">
        <v>37186.29</v>
      </c>
      <c r="F7" s="2">
        <v>12395.43</v>
      </c>
      <c r="G7" s="2">
        <v>12756.43</v>
      </c>
      <c r="H7" s="2">
        <v>12014.43</v>
      </c>
    </row>
    <row r="8" spans="1:8" x14ac:dyDescent="0.25">
      <c r="A8" t="s">
        <v>62</v>
      </c>
      <c r="B8" t="s">
        <v>61</v>
      </c>
      <c r="D8" s="2">
        <v>6</v>
      </c>
      <c r="E8" s="2">
        <v>80339.579999999987</v>
      </c>
      <c r="F8" s="2">
        <v>13389.929999999998</v>
      </c>
      <c r="G8" s="2">
        <v>13561.43</v>
      </c>
      <c r="H8" s="2">
        <v>13037.43</v>
      </c>
    </row>
    <row r="9" spans="1:8" x14ac:dyDescent="0.25">
      <c r="A9" t="s">
        <v>70</v>
      </c>
      <c r="B9" t="s">
        <v>69</v>
      </c>
      <c r="D9" s="2">
        <v>5</v>
      </c>
      <c r="E9" s="2">
        <v>65327.15</v>
      </c>
      <c r="F9" s="2">
        <v>13065.43</v>
      </c>
      <c r="G9" s="2">
        <v>13463.43</v>
      </c>
      <c r="H9" s="2">
        <v>12547.43</v>
      </c>
    </row>
    <row r="10" spans="1:8" x14ac:dyDescent="0.25">
      <c r="A10" t="s">
        <v>77</v>
      </c>
      <c r="B10" t="s">
        <v>76</v>
      </c>
      <c r="D10" s="2">
        <v>5</v>
      </c>
      <c r="E10" s="2">
        <v>55852.15</v>
      </c>
      <c r="F10" s="2">
        <v>11170.43</v>
      </c>
      <c r="G10" s="2">
        <v>12168.43</v>
      </c>
      <c r="H10" s="2">
        <v>10052.43</v>
      </c>
    </row>
    <row r="11" spans="1:8" x14ac:dyDescent="0.25">
      <c r="A11" t="s">
        <v>84</v>
      </c>
      <c r="B11" t="s">
        <v>83</v>
      </c>
      <c r="D11" s="2">
        <v>4</v>
      </c>
      <c r="E11" s="2">
        <v>32819.72</v>
      </c>
      <c r="F11" s="2">
        <v>8204.93</v>
      </c>
      <c r="G11" s="2">
        <v>9373.43</v>
      </c>
      <c r="H11" s="2">
        <v>6976.43</v>
      </c>
    </row>
    <row r="12" spans="1:8" x14ac:dyDescent="0.25">
      <c r="A12" t="s">
        <v>90</v>
      </c>
      <c r="B12" t="s">
        <v>89</v>
      </c>
      <c r="D12" s="2">
        <v>4</v>
      </c>
      <c r="E12" s="2">
        <v>18115.72</v>
      </c>
      <c r="F12" s="2">
        <v>4528.93</v>
      </c>
      <c r="G12" s="2">
        <v>6057.43</v>
      </c>
      <c r="H12" s="2">
        <v>2940.43</v>
      </c>
    </row>
    <row r="13" spans="1:8" x14ac:dyDescent="0.25">
      <c r="A13" t="s">
        <v>96</v>
      </c>
      <c r="B13" t="s">
        <v>95</v>
      </c>
      <c r="D13" s="2">
        <v>3</v>
      </c>
      <c r="E13" s="2">
        <v>1627.29</v>
      </c>
      <c r="F13" s="2">
        <v>542.42999999999995</v>
      </c>
      <c r="G13" s="2">
        <v>1781.43</v>
      </c>
      <c r="H13" s="2">
        <v>-716.57</v>
      </c>
    </row>
    <row r="14" spans="1:8" x14ac:dyDescent="0.25">
      <c r="A14" t="s">
        <v>101</v>
      </c>
      <c r="B14" t="s">
        <v>100</v>
      </c>
      <c r="D14" s="2">
        <v>2</v>
      </c>
      <c r="E14" s="2">
        <v>-5510.14</v>
      </c>
      <c r="F14" s="2">
        <v>-2755.07</v>
      </c>
      <c r="G14" s="2">
        <v>-2055.5700000000002</v>
      </c>
      <c r="H14" s="2">
        <v>-3454.57</v>
      </c>
    </row>
    <row r="15" spans="1:8" x14ac:dyDescent="0.25">
      <c r="A15" t="s">
        <v>105</v>
      </c>
      <c r="B15" t="s">
        <v>104</v>
      </c>
      <c r="D15" s="2">
        <v>1</v>
      </c>
      <c r="E15" s="2">
        <v>-4913.57</v>
      </c>
      <c r="F15" s="2">
        <v>-4913.57</v>
      </c>
      <c r="G15" s="2">
        <v>-4913.57</v>
      </c>
      <c r="H15" s="2">
        <v>-4913.57</v>
      </c>
    </row>
    <row r="16" spans="1:8" x14ac:dyDescent="0.25">
      <c r="A16" t="s">
        <v>28</v>
      </c>
      <c r="B16" t="s">
        <v>27</v>
      </c>
      <c r="D16" s="2">
        <v>1</v>
      </c>
      <c r="E16" s="2">
        <v>12324.6</v>
      </c>
      <c r="F16" s="2">
        <v>12324.6</v>
      </c>
      <c r="G16" s="2">
        <v>12324.6</v>
      </c>
      <c r="H16" s="2">
        <v>12324.6</v>
      </c>
    </row>
    <row r="17" spans="1:8" x14ac:dyDescent="0.25">
      <c r="A17" t="s">
        <v>30</v>
      </c>
      <c r="B17" t="s">
        <v>29</v>
      </c>
      <c r="D17" s="2">
        <v>1</v>
      </c>
      <c r="E17" s="2">
        <v>12324.6</v>
      </c>
      <c r="F17" s="2">
        <v>12324.6</v>
      </c>
      <c r="G17" s="2">
        <v>12324.6</v>
      </c>
      <c r="H17" s="2">
        <v>12324.6</v>
      </c>
    </row>
    <row r="18" spans="1:8" x14ac:dyDescent="0.25">
      <c r="A18" t="s">
        <v>33</v>
      </c>
      <c r="B18" t="s">
        <v>32</v>
      </c>
      <c r="C18" t="s">
        <v>31</v>
      </c>
      <c r="D18" s="2">
        <v>1</v>
      </c>
      <c r="E18" s="2">
        <v>44682</v>
      </c>
      <c r="F18" s="2">
        <v>44682</v>
      </c>
      <c r="G18" s="2">
        <v>44682</v>
      </c>
      <c r="H18" s="2">
        <v>44682</v>
      </c>
    </row>
    <row r="19" spans="1:8" x14ac:dyDescent="0.25">
      <c r="C19" t="s">
        <v>34</v>
      </c>
      <c r="D19" s="2">
        <v>1</v>
      </c>
      <c r="E19" s="2">
        <v>34541.43</v>
      </c>
      <c r="F19" s="2">
        <v>34541.43</v>
      </c>
      <c r="G19" s="2">
        <v>34541.43</v>
      </c>
      <c r="H19" s="2">
        <v>34541.43</v>
      </c>
    </row>
    <row r="20" spans="1:8" x14ac:dyDescent="0.25">
      <c r="C20" t="s">
        <v>35</v>
      </c>
      <c r="D20" s="2">
        <v>1</v>
      </c>
      <c r="E20" s="2">
        <v>341.43</v>
      </c>
      <c r="F20" s="2">
        <v>341.43</v>
      </c>
      <c r="G20" s="2">
        <v>341.43</v>
      </c>
      <c r="H20" s="2">
        <v>341.43</v>
      </c>
    </row>
    <row r="21" spans="1:8" x14ac:dyDescent="0.25">
      <c r="C21" t="s">
        <v>36</v>
      </c>
      <c r="D21" s="2">
        <v>1</v>
      </c>
      <c r="E21" s="2">
        <v>1341.43</v>
      </c>
      <c r="F21" s="2">
        <v>1341.43</v>
      </c>
      <c r="G21" s="2">
        <v>1341.43</v>
      </c>
      <c r="H21" s="2">
        <v>1341.43</v>
      </c>
    </row>
    <row r="22" spans="1:8" x14ac:dyDescent="0.25">
      <c r="B22" t="s">
        <v>111</v>
      </c>
      <c r="D22" s="2">
        <v>4</v>
      </c>
      <c r="E22" s="2">
        <v>80906.289999999979</v>
      </c>
      <c r="F22" s="2">
        <v>20226.572499999995</v>
      </c>
      <c r="G22" s="2">
        <v>44682</v>
      </c>
      <c r="H22" s="2">
        <v>341.43</v>
      </c>
    </row>
    <row r="23" spans="1:8" x14ac:dyDescent="0.25">
      <c r="A23" t="s">
        <v>39</v>
      </c>
      <c r="B23" t="s">
        <v>38</v>
      </c>
      <c r="D23" s="2">
        <v>1</v>
      </c>
      <c r="E23" s="2">
        <v>7527.43</v>
      </c>
      <c r="F23" s="2">
        <v>7527.43</v>
      </c>
      <c r="G23" s="2">
        <v>7527.43</v>
      </c>
      <c r="H23" s="2">
        <v>7527.43</v>
      </c>
    </row>
    <row r="24" spans="1:8" x14ac:dyDescent="0.25">
      <c r="A24" t="s">
        <v>42</v>
      </c>
      <c r="B24" t="s">
        <v>41</v>
      </c>
      <c r="D24" s="2">
        <v>2</v>
      </c>
      <c r="E24" s="2">
        <v>17457.86</v>
      </c>
      <c r="F24" s="2">
        <v>8728.93</v>
      </c>
      <c r="G24" s="2">
        <v>9109.43</v>
      </c>
      <c r="H24" s="2">
        <v>8348.43</v>
      </c>
    </row>
    <row r="25" spans="1:8" x14ac:dyDescent="0.25">
      <c r="A25" t="s">
        <v>45</v>
      </c>
      <c r="B25" t="s">
        <v>44</v>
      </c>
      <c r="D25" s="2">
        <v>2</v>
      </c>
      <c r="E25" s="2">
        <v>17457.86</v>
      </c>
      <c r="F25" s="2">
        <v>8728.93</v>
      </c>
      <c r="G25" s="2">
        <v>9109.43</v>
      </c>
      <c r="H25" s="2">
        <v>8348.43</v>
      </c>
    </row>
    <row r="26" spans="1:8" x14ac:dyDescent="0.25">
      <c r="A26" t="s">
        <v>48</v>
      </c>
      <c r="B26" t="s">
        <v>47</v>
      </c>
      <c r="D26" s="2">
        <v>1</v>
      </c>
      <c r="E26" s="2">
        <v>9810.43</v>
      </c>
      <c r="F26" s="2">
        <v>9810.43</v>
      </c>
      <c r="G26" s="2">
        <v>9810.43</v>
      </c>
      <c r="H26" s="2">
        <v>9810.43</v>
      </c>
    </row>
    <row r="27" spans="1:8" x14ac:dyDescent="0.25">
      <c r="A27" t="s">
        <v>50</v>
      </c>
      <c r="B27" t="s">
        <v>24</v>
      </c>
      <c r="D27" s="2">
        <v>1</v>
      </c>
      <c r="E27" s="2">
        <v>10451.43</v>
      </c>
      <c r="F27" s="2">
        <v>10451.43</v>
      </c>
      <c r="G27" s="2">
        <v>10451.43</v>
      </c>
      <c r="H27" s="2">
        <v>10451.43</v>
      </c>
    </row>
    <row r="28" spans="1:8" x14ac:dyDescent="0.25">
      <c r="A28" t="s">
        <v>6</v>
      </c>
      <c r="D28" s="2">
        <v>49</v>
      </c>
      <c r="E28" s="2">
        <v>484014.5499999997</v>
      </c>
      <c r="F28" s="2">
        <v>9877.8479591836676</v>
      </c>
      <c r="G28" s="2">
        <v>44682</v>
      </c>
      <c r="H28" s="2">
        <v>-4913.57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FCFE1-4571-4402-8ECE-C217729E0D94}">
  <sheetPr codeName="Tabelle5"/>
  <dimension ref="A1:J208"/>
  <sheetViews>
    <sheetView tabSelected="1" workbookViewId="0">
      <selection activeCell="A10" sqref="A10"/>
    </sheetView>
  </sheetViews>
  <sheetFormatPr baseColWidth="10" defaultRowHeight="15" x14ac:dyDescent="0.25"/>
  <cols>
    <col min="1" max="1" width="79.42578125" customWidth="1"/>
    <col min="2" max="9" width="2.140625" customWidth="1"/>
  </cols>
  <sheetData>
    <row r="1" spans="1:10" x14ac:dyDescent="0.25">
      <c r="A1" t="s">
        <v>112</v>
      </c>
      <c r="J1" t="s">
        <v>147</v>
      </c>
    </row>
    <row r="2" spans="1:10" x14ac:dyDescent="0.25">
      <c r="A2" t="s">
        <v>309</v>
      </c>
    </row>
    <row r="3" spans="1:10" x14ac:dyDescent="0.25">
      <c r="A3" t="s">
        <v>113</v>
      </c>
    </row>
    <row r="4" spans="1:10" x14ac:dyDescent="0.25">
      <c r="A4" t="s">
        <v>296</v>
      </c>
      <c r="J4" t="s">
        <v>148</v>
      </c>
    </row>
    <row r="5" spans="1:10" x14ac:dyDescent="0.25">
      <c r="A5" t="s">
        <v>310</v>
      </c>
      <c r="J5" t="s">
        <v>149</v>
      </c>
    </row>
    <row r="6" spans="1:10" x14ac:dyDescent="0.25">
      <c r="A6" t="s">
        <v>297</v>
      </c>
      <c r="J6" t="s">
        <v>150</v>
      </c>
    </row>
    <row r="7" spans="1:10" x14ac:dyDescent="0.25">
      <c r="A7" t="s">
        <v>298</v>
      </c>
      <c r="J7" t="s">
        <v>151</v>
      </c>
    </row>
    <row r="8" spans="1:10" x14ac:dyDescent="0.25">
      <c r="A8" t="s">
        <v>299</v>
      </c>
      <c r="J8" t="s">
        <v>152</v>
      </c>
    </row>
    <row r="9" spans="1:10" x14ac:dyDescent="0.25">
      <c r="A9" t="s">
        <v>114</v>
      </c>
      <c r="J9" t="s">
        <v>153</v>
      </c>
    </row>
    <row r="10" spans="1:10" x14ac:dyDescent="0.25">
      <c r="A10" t="s">
        <v>300</v>
      </c>
      <c r="J10" t="s">
        <v>154</v>
      </c>
    </row>
    <row r="11" spans="1:10" x14ac:dyDescent="0.25">
      <c r="A11" t="s">
        <v>115</v>
      </c>
      <c r="J11" t="s">
        <v>155</v>
      </c>
    </row>
    <row r="12" spans="1:10" x14ac:dyDescent="0.25">
      <c r="A12" t="s">
        <v>116</v>
      </c>
    </row>
    <row r="13" spans="1:10" x14ac:dyDescent="0.25">
      <c r="A13" t="s">
        <v>117</v>
      </c>
      <c r="J13" t="s">
        <v>156</v>
      </c>
    </row>
    <row r="14" spans="1:10" x14ac:dyDescent="0.25">
      <c r="A14" t="s">
        <v>118</v>
      </c>
      <c r="J14" t="s">
        <v>157</v>
      </c>
    </row>
    <row r="15" spans="1:10" x14ac:dyDescent="0.25">
      <c r="A15" t="s">
        <v>119</v>
      </c>
      <c r="J15" t="s">
        <v>158</v>
      </c>
    </row>
    <row r="16" spans="1:10" x14ac:dyDescent="0.25">
      <c r="A16" t="s">
        <v>114</v>
      </c>
      <c r="J16" t="s">
        <v>159</v>
      </c>
    </row>
    <row r="17" spans="1:10" x14ac:dyDescent="0.25">
      <c r="A17" t="s">
        <v>120</v>
      </c>
      <c r="J17" t="s">
        <v>160</v>
      </c>
    </row>
    <row r="18" spans="1:10" x14ac:dyDescent="0.25">
      <c r="A18" t="s">
        <v>121</v>
      </c>
      <c r="J18" t="s">
        <v>161</v>
      </c>
    </row>
    <row r="19" spans="1:10" x14ac:dyDescent="0.25">
      <c r="A19" t="s">
        <v>122</v>
      </c>
      <c r="J19" t="s">
        <v>162</v>
      </c>
    </row>
    <row r="20" spans="1:10" x14ac:dyDescent="0.25">
      <c r="A20" t="s">
        <v>123</v>
      </c>
      <c r="J20" t="s">
        <v>163</v>
      </c>
    </row>
    <row r="21" spans="1:10" x14ac:dyDescent="0.25">
      <c r="A21" t="s">
        <v>124</v>
      </c>
      <c r="J21" t="s">
        <v>164</v>
      </c>
    </row>
    <row r="22" spans="1:10" x14ac:dyDescent="0.25">
      <c r="A22" t="s">
        <v>125</v>
      </c>
      <c r="J22" t="s">
        <v>165</v>
      </c>
    </row>
    <row r="23" spans="1:10" x14ac:dyDescent="0.25">
      <c r="A23" t="s">
        <v>114</v>
      </c>
      <c r="J23" t="s">
        <v>166</v>
      </c>
    </row>
    <row r="24" spans="1:10" x14ac:dyDescent="0.25">
      <c r="A24" t="s">
        <v>126</v>
      </c>
      <c r="J24" t="s">
        <v>167</v>
      </c>
    </row>
    <row r="25" spans="1:10" x14ac:dyDescent="0.25">
      <c r="A25" t="s">
        <v>127</v>
      </c>
      <c r="J25" t="s">
        <v>168</v>
      </c>
    </row>
    <row r="26" spans="1:10" x14ac:dyDescent="0.25">
      <c r="A26" t="s">
        <v>128</v>
      </c>
      <c r="J26" t="s">
        <v>169</v>
      </c>
    </row>
    <row r="27" spans="1:10" x14ac:dyDescent="0.25">
      <c r="A27" t="s">
        <v>129</v>
      </c>
      <c r="J27" t="s">
        <v>170</v>
      </c>
    </row>
    <row r="28" spans="1:10" x14ac:dyDescent="0.25">
      <c r="A28" t="s">
        <v>130</v>
      </c>
      <c r="J28" t="s">
        <v>171</v>
      </c>
    </row>
    <row r="29" spans="1:10" x14ac:dyDescent="0.25">
      <c r="A29" t="s">
        <v>131</v>
      </c>
      <c r="J29" t="s">
        <v>172</v>
      </c>
    </row>
    <row r="30" spans="1:10" x14ac:dyDescent="0.25">
      <c r="A30" t="s">
        <v>114</v>
      </c>
      <c r="J30" t="s">
        <v>173</v>
      </c>
    </row>
    <row r="31" spans="1:10" x14ac:dyDescent="0.25">
      <c r="A31" t="s">
        <v>132</v>
      </c>
      <c r="J31" t="s">
        <v>174</v>
      </c>
    </row>
    <row r="32" spans="1:10" x14ac:dyDescent="0.25">
      <c r="A32" t="s">
        <v>114</v>
      </c>
      <c r="J32" t="s">
        <v>175</v>
      </c>
    </row>
    <row r="33" spans="1:10" x14ac:dyDescent="0.25">
      <c r="A33" t="s">
        <v>133</v>
      </c>
      <c r="J33" t="s">
        <v>176</v>
      </c>
    </row>
    <row r="34" spans="1:10" x14ac:dyDescent="0.25">
      <c r="A34" t="s">
        <v>134</v>
      </c>
      <c r="J34" t="s">
        <v>177</v>
      </c>
    </row>
    <row r="35" spans="1:10" x14ac:dyDescent="0.25">
      <c r="A35" t="s">
        <v>135</v>
      </c>
      <c r="J35" t="s">
        <v>178</v>
      </c>
    </row>
    <row r="36" spans="1:10" x14ac:dyDescent="0.25">
      <c r="A36" t="s">
        <v>136</v>
      </c>
      <c r="J36" t="s">
        <v>179</v>
      </c>
    </row>
    <row r="37" spans="1:10" x14ac:dyDescent="0.25">
      <c r="A37" t="s">
        <v>137</v>
      </c>
      <c r="J37" t="s">
        <v>180</v>
      </c>
    </row>
    <row r="38" spans="1:10" x14ac:dyDescent="0.25">
      <c r="A38" t="s">
        <v>138</v>
      </c>
      <c r="J38" t="s">
        <v>174</v>
      </c>
    </row>
    <row r="39" spans="1:10" x14ac:dyDescent="0.25">
      <c r="A39" t="s">
        <v>139</v>
      </c>
      <c r="J39" t="s">
        <v>175</v>
      </c>
    </row>
    <row r="40" spans="1:10" x14ac:dyDescent="0.25">
      <c r="A40" t="s">
        <v>114</v>
      </c>
      <c r="J40" t="s">
        <v>181</v>
      </c>
    </row>
    <row r="41" spans="1:10" x14ac:dyDescent="0.25">
      <c r="A41" t="s">
        <v>140</v>
      </c>
      <c r="J41" t="s">
        <v>182</v>
      </c>
    </row>
    <row r="42" spans="1:10" x14ac:dyDescent="0.25">
      <c r="A42" t="s">
        <v>141</v>
      </c>
      <c r="J42" t="s">
        <v>183</v>
      </c>
    </row>
    <row r="43" spans="1:10" x14ac:dyDescent="0.25">
      <c r="A43" t="s">
        <v>142</v>
      </c>
      <c r="J43" t="s">
        <v>184</v>
      </c>
    </row>
    <row r="44" spans="1:10" x14ac:dyDescent="0.25">
      <c r="A44" t="s">
        <v>143</v>
      </c>
      <c r="J44" t="s">
        <v>185</v>
      </c>
    </row>
    <row r="45" spans="1:10" x14ac:dyDescent="0.25">
      <c r="A45" t="s">
        <v>144</v>
      </c>
      <c r="J45" t="s">
        <v>186</v>
      </c>
    </row>
    <row r="46" spans="1:10" x14ac:dyDescent="0.25">
      <c r="A46" t="s">
        <v>307</v>
      </c>
      <c r="J46" t="s">
        <v>182</v>
      </c>
    </row>
    <row r="47" spans="1:10" x14ac:dyDescent="0.25">
      <c r="A47" t="s">
        <v>308</v>
      </c>
      <c r="J47" t="s">
        <v>187</v>
      </c>
    </row>
    <row r="48" spans="1:10" x14ac:dyDescent="0.25">
      <c r="A48" t="s">
        <v>114</v>
      </c>
      <c r="J48" t="s">
        <v>188</v>
      </c>
    </row>
    <row r="49" spans="1:10" x14ac:dyDescent="0.25">
      <c r="A49" t="s">
        <v>145</v>
      </c>
      <c r="J49" t="s">
        <v>189</v>
      </c>
    </row>
    <row r="50" spans="1:10" x14ac:dyDescent="0.25">
      <c r="A50" t="s">
        <v>301</v>
      </c>
      <c r="J50" t="s">
        <v>190</v>
      </c>
    </row>
    <row r="51" spans="1:10" x14ac:dyDescent="0.25">
      <c r="A51" t="s">
        <v>302</v>
      </c>
      <c r="J51" t="s">
        <v>191</v>
      </c>
    </row>
    <row r="52" spans="1:10" x14ac:dyDescent="0.25">
      <c r="A52" t="s">
        <v>303</v>
      </c>
    </row>
    <row r="53" spans="1:10" x14ac:dyDescent="0.25">
      <c r="A53" t="s">
        <v>304</v>
      </c>
      <c r="J53" t="s">
        <v>192</v>
      </c>
    </row>
    <row r="54" spans="1:10" x14ac:dyDescent="0.25">
      <c r="A54" t="s">
        <v>305</v>
      </c>
    </row>
    <row r="55" spans="1:10" x14ac:dyDescent="0.25">
      <c r="A55" t="s">
        <v>306</v>
      </c>
      <c r="J55" t="s">
        <v>193</v>
      </c>
    </row>
    <row r="56" spans="1:10" x14ac:dyDescent="0.25">
      <c r="A56" t="s">
        <v>114</v>
      </c>
      <c r="J56" t="s">
        <v>149</v>
      </c>
    </row>
    <row r="57" spans="1:10" x14ac:dyDescent="0.25">
      <c r="A57" t="s">
        <v>114</v>
      </c>
      <c r="J57" t="s">
        <v>150</v>
      </c>
    </row>
    <row r="58" spans="1:10" x14ac:dyDescent="0.25">
      <c r="A58" t="s">
        <v>146</v>
      </c>
      <c r="J58" t="s">
        <v>152</v>
      </c>
    </row>
    <row r="59" spans="1:10" x14ac:dyDescent="0.25">
      <c r="J59" t="s">
        <v>194</v>
      </c>
    </row>
    <row r="60" spans="1:10" x14ac:dyDescent="0.25">
      <c r="J60" t="s">
        <v>195</v>
      </c>
    </row>
    <row r="61" spans="1:10" x14ac:dyDescent="0.25">
      <c r="J61" t="s">
        <v>182</v>
      </c>
    </row>
    <row r="62" spans="1:10" x14ac:dyDescent="0.25">
      <c r="J62" t="s">
        <v>192</v>
      </c>
    </row>
    <row r="64" spans="1:10" x14ac:dyDescent="0.25">
      <c r="J64" t="s">
        <v>196</v>
      </c>
    </row>
    <row r="65" spans="10:10" x14ac:dyDescent="0.25">
      <c r="J65" t="s">
        <v>149</v>
      </c>
    </row>
    <row r="66" spans="10:10" x14ac:dyDescent="0.25">
      <c r="J66" t="s">
        <v>150</v>
      </c>
    </row>
    <row r="67" spans="10:10" x14ac:dyDescent="0.25">
      <c r="J67" t="s">
        <v>197</v>
      </c>
    </row>
    <row r="68" spans="10:10" x14ac:dyDescent="0.25">
      <c r="J68" t="s">
        <v>198</v>
      </c>
    </row>
    <row r="69" spans="10:10" x14ac:dyDescent="0.25">
      <c r="J69" t="s">
        <v>199</v>
      </c>
    </row>
    <row r="70" spans="10:10" x14ac:dyDescent="0.25">
      <c r="J70" t="s">
        <v>192</v>
      </c>
    </row>
    <row r="72" spans="10:10" x14ac:dyDescent="0.25">
      <c r="J72" t="s">
        <v>200</v>
      </c>
    </row>
    <row r="73" spans="10:10" x14ac:dyDescent="0.25">
      <c r="J73" t="s">
        <v>149</v>
      </c>
    </row>
    <row r="74" spans="10:10" x14ac:dyDescent="0.25">
      <c r="J74" t="s">
        <v>150</v>
      </c>
    </row>
    <row r="75" spans="10:10" x14ac:dyDescent="0.25">
      <c r="J75" t="s">
        <v>197</v>
      </c>
    </row>
    <row r="76" spans="10:10" x14ac:dyDescent="0.25">
      <c r="J76" t="s">
        <v>198</v>
      </c>
    </row>
    <row r="77" spans="10:10" x14ac:dyDescent="0.25">
      <c r="J77" t="s">
        <v>201</v>
      </c>
    </row>
    <row r="78" spans="10:10" x14ac:dyDescent="0.25">
      <c r="J78" t="s">
        <v>202</v>
      </c>
    </row>
    <row r="79" spans="10:10" x14ac:dyDescent="0.25">
      <c r="J79" t="s">
        <v>192</v>
      </c>
    </row>
    <row r="81" spans="10:10" x14ac:dyDescent="0.25">
      <c r="J81" t="s">
        <v>203</v>
      </c>
    </row>
    <row r="82" spans="10:10" x14ac:dyDescent="0.25">
      <c r="J82" t="s">
        <v>149</v>
      </c>
    </row>
    <row r="83" spans="10:10" x14ac:dyDescent="0.25">
      <c r="J83" t="s">
        <v>150</v>
      </c>
    </row>
    <row r="84" spans="10:10" x14ac:dyDescent="0.25">
      <c r="J84" t="s">
        <v>204</v>
      </c>
    </row>
    <row r="85" spans="10:10" x14ac:dyDescent="0.25">
      <c r="J85" t="s">
        <v>197</v>
      </c>
    </row>
    <row r="86" spans="10:10" x14ac:dyDescent="0.25">
      <c r="J86" t="s">
        <v>194</v>
      </c>
    </row>
    <row r="87" spans="10:10" x14ac:dyDescent="0.25">
      <c r="J87" t="s">
        <v>205</v>
      </c>
    </row>
    <row r="88" spans="10:10" x14ac:dyDescent="0.25">
      <c r="J88" t="s">
        <v>206</v>
      </c>
    </row>
    <row r="89" spans="10:10" x14ac:dyDescent="0.25">
      <c r="J89" t="s">
        <v>181</v>
      </c>
    </row>
    <row r="90" spans="10:10" x14ac:dyDescent="0.25">
      <c r="J90" t="s">
        <v>182</v>
      </c>
    </row>
    <row r="92" spans="10:10" x14ac:dyDescent="0.25">
      <c r="J92" t="s">
        <v>201</v>
      </c>
    </row>
    <row r="93" spans="10:10" x14ac:dyDescent="0.25">
      <c r="J93" t="s">
        <v>207</v>
      </c>
    </row>
    <row r="94" spans="10:10" x14ac:dyDescent="0.25">
      <c r="J94" t="s">
        <v>192</v>
      </c>
    </row>
    <row r="97" spans="10:10" x14ac:dyDescent="0.25">
      <c r="J97" t="s">
        <v>208</v>
      </c>
    </row>
    <row r="98" spans="10:10" x14ac:dyDescent="0.25">
      <c r="J98" t="s">
        <v>149</v>
      </c>
    </row>
    <row r="99" spans="10:10" x14ac:dyDescent="0.25">
      <c r="J99" t="s">
        <v>150</v>
      </c>
    </row>
    <row r="100" spans="10:10" x14ac:dyDescent="0.25">
      <c r="J100" t="s">
        <v>209</v>
      </c>
    </row>
    <row r="101" spans="10:10" x14ac:dyDescent="0.25">
      <c r="J101" t="s">
        <v>210</v>
      </c>
    </row>
    <row r="102" spans="10:10" x14ac:dyDescent="0.25">
      <c r="J102" t="s">
        <v>211</v>
      </c>
    </row>
    <row r="103" spans="10:10" x14ac:dyDescent="0.25">
      <c r="J103" t="s">
        <v>212</v>
      </c>
    </row>
    <row r="104" spans="10:10" x14ac:dyDescent="0.25">
      <c r="J104" t="s">
        <v>213</v>
      </c>
    </row>
    <row r="106" spans="10:10" x14ac:dyDescent="0.25">
      <c r="J106" t="s">
        <v>214</v>
      </c>
    </row>
    <row r="111" spans="10:10" x14ac:dyDescent="0.25">
      <c r="J111" t="s">
        <v>215</v>
      </c>
    </row>
    <row r="112" spans="10:10" x14ac:dyDescent="0.25">
      <c r="J112" t="s">
        <v>216</v>
      </c>
    </row>
    <row r="113" spans="10:10" x14ac:dyDescent="0.25">
      <c r="J113" t="s">
        <v>217</v>
      </c>
    </row>
    <row r="114" spans="10:10" x14ac:dyDescent="0.25">
      <c r="J114" t="s">
        <v>218</v>
      </c>
    </row>
    <row r="115" spans="10:10" x14ac:dyDescent="0.25">
      <c r="J115" t="s">
        <v>219</v>
      </c>
    </row>
    <row r="116" spans="10:10" x14ac:dyDescent="0.25">
      <c r="J116" t="s">
        <v>220</v>
      </c>
    </row>
    <row r="117" spans="10:10" x14ac:dyDescent="0.25">
      <c r="J117" t="s">
        <v>221</v>
      </c>
    </row>
    <row r="118" spans="10:10" x14ac:dyDescent="0.25">
      <c r="J118" t="s">
        <v>222</v>
      </c>
    </row>
    <row r="119" spans="10:10" x14ac:dyDescent="0.25">
      <c r="J119" t="s">
        <v>223</v>
      </c>
    </row>
    <row r="121" spans="10:10" x14ac:dyDescent="0.25">
      <c r="J121" t="s">
        <v>224</v>
      </c>
    </row>
    <row r="122" spans="10:10" x14ac:dyDescent="0.25">
      <c r="J122" t="s">
        <v>225</v>
      </c>
    </row>
    <row r="123" spans="10:10" x14ac:dyDescent="0.25">
      <c r="J123" t="s">
        <v>226</v>
      </c>
    </row>
    <row r="124" spans="10:10" x14ac:dyDescent="0.25">
      <c r="J124" t="s">
        <v>227</v>
      </c>
    </row>
    <row r="126" spans="10:10" x14ac:dyDescent="0.25">
      <c r="J126" t="s">
        <v>228</v>
      </c>
    </row>
    <row r="127" spans="10:10" x14ac:dyDescent="0.25">
      <c r="J127" t="s">
        <v>229</v>
      </c>
    </row>
    <row r="128" spans="10:10" x14ac:dyDescent="0.25">
      <c r="J128" s="10" t="s">
        <v>230</v>
      </c>
    </row>
    <row r="129" spans="10:10" x14ac:dyDescent="0.25">
      <c r="J129" t="s">
        <v>231</v>
      </c>
    </row>
    <row r="130" spans="10:10" x14ac:dyDescent="0.25">
      <c r="J130" t="s">
        <v>232</v>
      </c>
    </row>
    <row r="131" spans="10:10" x14ac:dyDescent="0.25">
      <c r="J131" t="s">
        <v>233</v>
      </c>
    </row>
    <row r="132" spans="10:10" x14ac:dyDescent="0.25">
      <c r="J132" t="s">
        <v>234</v>
      </c>
    </row>
    <row r="133" spans="10:10" x14ac:dyDescent="0.25">
      <c r="J133" s="10" t="s">
        <v>235</v>
      </c>
    </row>
    <row r="134" spans="10:10" x14ac:dyDescent="0.25">
      <c r="J134" s="10" t="s">
        <v>236</v>
      </c>
    </row>
    <row r="135" spans="10:10" x14ac:dyDescent="0.25">
      <c r="J135" s="10" t="s">
        <v>237</v>
      </c>
    </row>
    <row r="136" spans="10:10" x14ac:dyDescent="0.25">
      <c r="J136" s="10" t="s">
        <v>238</v>
      </c>
    </row>
    <row r="137" spans="10:10" x14ac:dyDescent="0.25">
      <c r="J137" s="10" t="s">
        <v>239</v>
      </c>
    </row>
    <row r="138" spans="10:10" x14ac:dyDescent="0.25">
      <c r="J138" s="10" t="s">
        <v>240</v>
      </c>
    </row>
    <row r="139" spans="10:10" x14ac:dyDescent="0.25">
      <c r="J139" s="10" t="s">
        <v>241</v>
      </c>
    </row>
    <row r="140" spans="10:10" x14ac:dyDescent="0.25">
      <c r="J140" s="10" t="s">
        <v>239</v>
      </c>
    </row>
    <row r="141" spans="10:10" x14ac:dyDescent="0.25">
      <c r="J141" s="10" t="s">
        <v>242</v>
      </c>
    </row>
    <row r="142" spans="10:10" x14ac:dyDescent="0.25">
      <c r="J142" s="10" t="s">
        <v>236</v>
      </c>
    </row>
    <row r="143" spans="10:10" x14ac:dyDescent="0.25">
      <c r="J143" s="10" t="s">
        <v>243</v>
      </c>
    </row>
    <row r="144" spans="10:10" x14ac:dyDescent="0.25">
      <c r="J144" t="s">
        <v>244</v>
      </c>
    </row>
    <row r="145" spans="10:10" x14ac:dyDescent="0.25">
      <c r="J145" t="s">
        <v>245</v>
      </c>
    </row>
    <row r="146" spans="10:10" x14ac:dyDescent="0.25">
      <c r="J146" t="s">
        <v>246</v>
      </c>
    </row>
    <row r="147" spans="10:10" x14ac:dyDescent="0.25">
      <c r="J147" t="s">
        <v>247</v>
      </c>
    </row>
    <row r="148" spans="10:10" x14ac:dyDescent="0.25">
      <c r="J148" t="s">
        <v>244</v>
      </c>
    </row>
    <row r="149" spans="10:10" x14ac:dyDescent="0.25">
      <c r="J149" t="s">
        <v>248</v>
      </c>
    </row>
    <row r="150" spans="10:10" x14ac:dyDescent="0.25">
      <c r="J150" s="10" t="s">
        <v>249</v>
      </c>
    </row>
    <row r="151" spans="10:10" x14ac:dyDescent="0.25">
      <c r="J151" s="10" t="s">
        <v>250</v>
      </c>
    </row>
    <row r="152" spans="10:10" x14ac:dyDescent="0.25">
      <c r="J152" s="10" t="s">
        <v>251</v>
      </c>
    </row>
    <row r="153" spans="10:10" x14ac:dyDescent="0.25">
      <c r="J153" s="10" t="s">
        <v>181</v>
      </c>
    </row>
    <row r="154" spans="10:10" x14ac:dyDescent="0.25">
      <c r="J154" t="s">
        <v>252</v>
      </c>
    </row>
    <row r="155" spans="10:10" x14ac:dyDescent="0.25">
      <c r="J155" t="s">
        <v>253</v>
      </c>
    </row>
    <row r="156" spans="10:10" x14ac:dyDescent="0.25">
      <c r="J156" t="s">
        <v>254</v>
      </c>
    </row>
    <row r="159" spans="10:10" x14ac:dyDescent="0.25">
      <c r="J159" t="s">
        <v>255</v>
      </c>
    </row>
    <row r="160" spans="10:10" x14ac:dyDescent="0.25">
      <c r="J160" t="s">
        <v>256</v>
      </c>
    </row>
    <row r="161" spans="10:10" x14ac:dyDescent="0.25">
      <c r="J161" t="s">
        <v>257</v>
      </c>
    </row>
    <row r="162" spans="10:10" x14ac:dyDescent="0.25">
      <c r="J162" t="s">
        <v>258</v>
      </c>
    </row>
    <row r="163" spans="10:10" x14ac:dyDescent="0.25">
      <c r="J163" t="s">
        <v>259</v>
      </c>
    </row>
    <row r="164" spans="10:10" x14ac:dyDescent="0.25">
      <c r="J164" t="s">
        <v>260</v>
      </c>
    </row>
    <row r="165" spans="10:10" x14ac:dyDescent="0.25">
      <c r="J165" t="s">
        <v>261</v>
      </c>
    </row>
    <row r="167" spans="10:10" x14ac:dyDescent="0.25">
      <c r="J167" t="s">
        <v>262</v>
      </c>
    </row>
    <row r="168" spans="10:10" x14ac:dyDescent="0.25">
      <c r="J168" t="s">
        <v>263</v>
      </c>
    </row>
    <row r="170" spans="10:10" x14ac:dyDescent="0.25">
      <c r="J170" t="s">
        <v>264</v>
      </c>
    </row>
    <row r="172" spans="10:10" x14ac:dyDescent="0.25">
      <c r="J172" t="s">
        <v>265</v>
      </c>
    </row>
    <row r="173" spans="10:10" x14ac:dyDescent="0.25">
      <c r="J173" t="s">
        <v>266</v>
      </c>
    </row>
    <row r="174" spans="10:10" x14ac:dyDescent="0.25">
      <c r="J174" t="s">
        <v>267</v>
      </c>
    </row>
    <row r="175" spans="10:10" x14ac:dyDescent="0.25">
      <c r="J175" t="s">
        <v>268</v>
      </c>
    </row>
    <row r="176" spans="10:10" x14ac:dyDescent="0.25">
      <c r="J176" t="s">
        <v>269</v>
      </c>
    </row>
    <row r="177" spans="10:10" x14ac:dyDescent="0.25">
      <c r="J177" t="s">
        <v>270</v>
      </c>
    </row>
    <row r="178" spans="10:10" x14ac:dyDescent="0.25">
      <c r="J178" t="s">
        <v>271</v>
      </c>
    </row>
    <row r="179" spans="10:10" x14ac:dyDescent="0.25">
      <c r="J179" t="s">
        <v>272</v>
      </c>
    </row>
    <row r="180" spans="10:10" x14ac:dyDescent="0.25">
      <c r="J180" t="s">
        <v>273</v>
      </c>
    </row>
    <row r="181" spans="10:10" x14ac:dyDescent="0.25">
      <c r="J181" t="s">
        <v>274</v>
      </c>
    </row>
    <row r="182" spans="10:10" x14ac:dyDescent="0.25">
      <c r="J182" t="s">
        <v>275</v>
      </c>
    </row>
    <row r="183" spans="10:10" x14ac:dyDescent="0.25">
      <c r="J183" t="s">
        <v>276</v>
      </c>
    </row>
    <row r="184" spans="10:10" x14ac:dyDescent="0.25">
      <c r="J184" t="s">
        <v>277</v>
      </c>
    </row>
    <row r="185" spans="10:10" x14ac:dyDescent="0.25">
      <c r="J185" t="s">
        <v>278</v>
      </c>
    </row>
    <row r="186" spans="10:10" x14ac:dyDescent="0.25">
      <c r="J186" t="s">
        <v>279</v>
      </c>
    </row>
    <row r="187" spans="10:10" x14ac:dyDescent="0.25">
      <c r="J187" t="s">
        <v>280</v>
      </c>
    </row>
    <row r="188" spans="10:10" x14ac:dyDescent="0.25">
      <c r="J188" t="s">
        <v>281</v>
      </c>
    </row>
    <row r="189" spans="10:10" x14ac:dyDescent="0.25">
      <c r="J189" t="s">
        <v>282</v>
      </c>
    </row>
    <row r="190" spans="10:10" x14ac:dyDescent="0.25">
      <c r="J190" t="s">
        <v>283</v>
      </c>
    </row>
    <row r="191" spans="10:10" x14ac:dyDescent="0.25">
      <c r="J191" t="s">
        <v>284</v>
      </c>
    </row>
    <row r="192" spans="10:10" x14ac:dyDescent="0.25">
      <c r="J192" t="s">
        <v>285</v>
      </c>
    </row>
    <row r="193" spans="10:10" x14ac:dyDescent="0.25">
      <c r="J193" t="s">
        <v>286</v>
      </c>
    </row>
    <row r="194" spans="10:10" x14ac:dyDescent="0.25">
      <c r="J194" t="s">
        <v>287</v>
      </c>
    </row>
    <row r="195" spans="10:10" x14ac:dyDescent="0.25">
      <c r="J195" t="s">
        <v>288</v>
      </c>
    </row>
    <row r="196" spans="10:10" x14ac:dyDescent="0.25">
      <c r="J196" t="s">
        <v>289</v>
      </c>
    </row>
    <row r="197" spans="10:10" x14ac:dyDescent="0.25">
      <c r="J197" t="s">
        <v>290</v>
      </c>
    </row>
    <row r="198" spans="10:10" x14ac:dyDescent="0.25">
      <c r="J198" t="s">
        <v>286</v>
      </c>
    </row>
    <row r="199" spans="10:10" x14ac:dyDescent="0.25">
      <c r="J199" t="s">
        <v>291</v>
      </c>
    </row>
    <row r="200" spans="10:10" x14ac:dyDescent="0.25">
      <c r="J200" t="s">
        <v>292</v>
      </c>
    </row>
    <row r="201" spans="10:10" x14ac:dyDescent="0.25">
      <c r="J201" t="s">
        <v>293</v>
      </c>
    </row>
    <row r="202" spans="10:10" x14ac:dyDescent="0.25">
      <c r="J202" t="s">
        <v>294</v>
      </c>
    </row>
    <row r="203" spans="10:10" x14ac:dyDescent="0.25">
      <c r="J203" t="s">
        <v>292</v>
      </c>
    </row>
    <row r="204" spans="10:10" x14ac:dyDescent="0.25">
      <c r="J204" t="s">
        <v>295</v>
      </c>
    </row>
    <row r="206" spans="10:10" x14ac:dyDescent="0.25">
      <c r="J206" t="s">
        <v>209</v>
      </c>
    </row>
    <row r="207" spans="10:10" x14ac:dyDescent="0.25">
      <c r="J207" t="s">
        <v>191</v>
      </c>
    </row>
    <row r="208" spans="10:10" x14ac:dyDescent="0.25">
      <c r="J208" t="s">
        <v>192</v>
      </c>
    </row>
  </sheetData>
  <pageMargins left="0.7" right="0.7" top="0.78740157499999996" bottom="0.78740157499999996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B5C67-F7F8-454B-B60A-6103F4F89225}">
  <sheetPr codeName="Tabelle3"/>
  <dimension ref="A1:D50"/>
  <sheetViews>
    <sheetView workbookViewId="0">
      <selection activeCell="D5" sqref="D5"/>
    </sheetView>
  </sheetViews>
  <sheetFormatPr baseColWidth="10" defaultRowHeight="15" x14ac:dyDescent="0.25"/>
  <cols>
    <col min="1" max="1" width="42.140625" customWidth="1"/>
    <col min="2" max="2" width="47.28515625" customWidth="1"/>
  </cols>
  <sheetData>
    <row r="1" spans="1:4" x14ac:dyDescent="0.25">
      <c r="A1" s="7" t="s">
        <v>0</v>
      </c>
      <c r="B1" s="7" t="s">
        <v>21</v>
      </c>
      <c r="C1" s="7" t="s">
        <v>22</v>
      </c>
      <c r="D1" s="9" t="s">
        <v>1</v>
      </c>
    </row>
    <row r="2" spans="1:4" x14ac:dyDescent="0.25">
      <c r="A2" s="8" t="s">
        <v>23</v>
      </c>
      <c r="B2" s="8" t="s">
        <v>24</v>
      </c>
      <c r="C2" s="8" t="s">
        <v>25</v>
      </c>
      <c r="D2">
        <f>VLOOKUP(Kundentabelle!A2,'Kontodaten anzeigen'!A:D,2,FALSE)</f>
        <v>12324</v>
      </c>
    </row>
    <row r="3" spans="1:4" x14ac:dyDescent="0.25">
      <c r="A3" s="8" t="s">
        <v>26</v>
      </c>
      <c r="B3" s="8" t="s">
        <v>27</v>
      </c>
      <c r="C3" s="8" t="s">
        <v>28</v>
      </c>
      <c r="D3">
        <f>VLOOKUP(Kundentabelle!A3,'Kontodaten anzeigen'!A:D,2,FALSE)</f>
        <v>12324.6</v>
      </c>
    </row>
    <row r="4" spans="1:4" x14ac:dyDescent="0.25">
      <c r="A4" s="8" t="s">
        <v>26</v>
      </c>
      <c r="B4" s="8" t="s">
        <v>29</v>
      </c>
      <c r="C4" s="8" t="s">
        <v>30</v>
      </c>
      <c r="D4">
        <f>VLOOKUP(Kundentabelle!A4,'Kontodaten anzeigen'!A:D,2,FALSE)</f>
        <v>12324.6</v>
      </c>
    </row>
    <row r="5" spans="1:4" x14ac:dyDescent="0.25">
      <c r="A5" s="8" t="s">
        <v>31</v>
      </c>
      <c r="B5" s="8" t="s">
        <v>32</v>
      </c>
      <c r="C5" s="8" t="s">
        <v>33</v>
      </c>
      <c r="D5">
        <f>VLOOKUP(Kundentabelle!A5,'Kontodaten anzeigen'!A:D,2,FALSE)</f>
        <v>44682</v>
      </c>
    </row>
    <row r="6" spans="1:4" x14ac:dyDescent="0.25">
      <c r="A6" s="8" t="s">
        <v>34</v>
      </c>
      <c r="B6" s="8" t="s">
        <v>32</v>
      </c>
      <c r="C6" s="8" t="s">
        <v>33</v>
      </c>
      <c r="D6">
        <f>VLOOKUP(Kundentabelle!A6,'Kontodaten anzeigen'!A:D,2,FALSE)</f>
        <v>34541.43</v>
      </c>
    </row>
    <row r="7" spans="1:4" x14ac:dyDescent="0.25">
      <c r="A7" s="8" t="s">
        <v>35</v>
      </c>
      <c r="B7" s="8" t="s">
        <v>32</v>
      </c>
      <c r="C7" s="8" t="s">
        <v>33</v>
      </c>
      <c r="D7">
        <f>VLOOKUP(Kundentabelle!A7,'Kontodaten anzeigen'!A:D,2,FALSE)</f>
        <v>341.43</v>
      </c>
    </row>
    <row r="8" spans="1:4" x14ac:dyDescent="0.25">
      <c r="A8" s="8" t="s">
        <v>36</v>
      </c>
      <c r="B8" s="8" t="s">
        <v>32</v>
      </c>
      <c r="C8" s="8" t="s">
        <v>33</v>
      </c>
      <c r="D8">
        <f>VLOOKUP(Kundentabelle!A8,'Kontodaten anzeigen'!A:D,2,FALSE)</f>
        <v>1341.43</v>
      </c>
    </row>
    <row r="9" spans="1:4" x14ac:dyDescent="0.25">
      <c r="A9" s="8" t="s">
        <v>37</v>
      </c>
      <c r="B9" s="8" t="s">
        <v>38</v>
      </c>
      <c r="C9" s="8" t="s">
        <v>39</v>
      </c>
      <c r="D9">
        <f>VLOOKUP(Kundentabelle!A9,'Kontodaten anzeigen'!A:D,2,FALSE)</f>
        <v>7527.43</v>
      </c>
    </row>
    <row r="10" spans="1:4" x14ac:dyDescent="0.25">
      <c r="A10" s="8" t="s">
        <v>40</v>
      </c>
      <c r="B10" s="8" t="s">
        <v>41</v>
      </c>
      <c r="C10" s="8" t="s">
        <v>42</v>
      </c>
      <c r="D10">
        <f>VLOOKUP(Kundentabelle!A10,'Kontodaten anzeigen'!A:D,2,FALSE)</f>
        <v>8348.43</v>
      </c>
    </row>
    <row r="11" spans="1:4" x14ac:dyDescent="0.25">
      <c r="A11" s="8" t="s">
        <v>43</v>
      </c>
      <c r="B11" s="8" t="s">
        <v>41</v>
      </c>
      <c r="C11" s="8" t="s">
        <v>42</v>
      </c>
      <c r="D11">
        <f>VLOOKUP(Kundentabelle!A11,'Kontodaten anzeigen'!A:D,2,FALSE)</f>
        <v>9109.43</v>
      </c>
    </row>
    <row r="12" spans="1:4" x14ac:dyDescent="0.25">
      <c r="A12" s="8" t="s">
        <v>40</v>
      </c>
      <c r="B12" s="8" t="s">
        <v>44</v>
      </c>
      <c r="C12" s="8" t="s">
        <v>45</v>
      </c>
      <c r="D12">
        <f>VLOOKUP(Kundentabelle!A12,'Kontodaten anzeigen'!A:D,2,FALSE)</f>
        <v>8348.43</v>
      </c>
    </row>
    <row r="13" spans="1:4" x14ac:dyDescent="0.25">
      <c r="A13" s="8" t="s">
        <v>43</v>
      </c>
      <c r="B13" s="8" t="s">
        <v>44</v>
      </c>
      <c r="C13" s="8" t="s">
        <v>45</v>
      </c>
      <c r="D13">
        <f>VLOOKUP(Kundentabelle!A13,'Kontodaten anzeigen'!A:D,2,FALSE)</f>
        <v>9109.43</v>
      </c>
    </row>
    <row r="14" spans="1:4" x14ac:dyDescent="0.25">
      <c r="A14" s="8" t="s">
        <v>46</v>
      </c>
      <c r="B14" s="8" t="s">
        <v>47</v>
      </c>
      <c r="C14" s="8" t="s">
        <v>48</v>
      </c>
      <c r="D14">
        <f>VLOOKUP(Kundentabelle!A14,'Kontodaten anzeigen'!A:D,2,FALSE)</f>
        <v>9810.43</v>
      </c>
    </row>
    <row r="15" spans="1:4" x14ac:dyDescent="0.25">
      <c r="A15" s="8" t="s">
        <v>49</v>
      </c>
      <c r="B15" s="8" t="s">
        <v>24</v>
      </c>
      <c r="C15" s="8" t="s">
        <v>50</v>
      </c>
      <c r="D15">
        <f>VLOOKUP(Kundentabelle!A15,'Kontodaten anzeigen'!A:D,2,FALSE)</f>
        <v>10451.43</v>
      </c>
    </row>
    <row r="16" spans="1:4" x14ac:dyDescent="0.25">
      <c r="A16" s="8" t="s">
        <v>51</v>
      </c>
      <c r="B16" s="8" t="s">
        <v>52</v>
      </c>
      <c r="C16" s="8" t="s">
        <v>53</v>
      </c>
      <c r="D16">
        <f>VLOOKUP(Kundentabelle!A16,'Kontodaten anzeigen'!A:D,2,FALSE)</f>
        <v>11032.43</v>
      </c>
    </row>
    <row r="17" spans="1:4" x14ac:dyDescent="0.25">
      <c r="A17" s="8" t="s">
        <v>54</v>
      </c>
      <c r="B17" s="8" t="s">
        <v>52</v>
      </c>
      <c r="C17" s="8" t="s">
        <v>53</v>
      </c>
      <c r="D17">
        <f>VLOOKUP(Kundentabelle!A17,'Kontodaten anzeigen'!A:D,2,FALSE)</f>
        <v>11553.43</v>
      </c>
    </row>
    <row r="18" spans="1:4" x14ac:dyDescent="0.25">
      <c r="A18" s="8" t="s">
        <v>55</v>
      </c>
      <c r="B18" s="8" t="s">
        <v>56</v>
      </c>
      <c r="C18" s="8" t="s">
        <v>57</v>
      </c>
      <c r="D18">
        <f>VLOOKUP(Kundentabelle!A18,'Kontodaten anzeigen'!A:D,2,FALSE)</f>
        <v>12014.43</v>
      </c>
    </row>
    <row r="19" spans="1:4" x14ac:dyDescent="0.25">
      <c r="A19" s="8" t="s">
        <v>58</v>
      </c>
      <c r="B19" s="8" t="s">
        <v>56</v>
      </c>
      <c r="C19" s="8" t="s">
        <v>57</v>
      </c>
      <c r="D19">
        <f>VLOOKUP(Kundentabelle!A19,'Kontodaten anzeigen'!A:D,2,FALSE)</f>
        <v>12415.43</v>
      </c>
    </row>
    <row r="20" spans="1:4" x14ac:dyDescent="0.25">
      <c r="A20" s="8" t="s">
        <v>59</v>
      </c>
      <c r="B20" s="8" t="s">
        <v>56</v>
      </c>
      <c r="C20" s="8" t="s">
        <v>57</v>
      </c>
      <c r="D20">
        <f>VLOOKUP(Kundentabelle!A20,'Kontodaten anzeigen'!A:D,2,FALSE)</f>
        <v>12756.43</v>
      </c>
    </row>
    <row r="21" spans="1:4" x14ac:dyDescent="0.25">
      <c r="A21" s="8" t="s">
        <v>60</v>
      </c>
      <c r="B21" s="8" t="s">
        <v>61</v>
      </c>
      <c r="C21" s="8" t="s">
        <v>62</v>
      </c>
      <c r="D21">
        <f>VLOOKUP(Kundentabelle!A21,'Kontodaten anzeigen'!A:D,2,FALSE)</f>
        <v>13037.43</v>
      </c>
    </row>
    <row r="22" spans="1:4" x14ac:dyDescent="0.25">
      <c r="A22" s="8" t="s">
        <v>63</v>
      </c>
      <c r="B22" s="8" t="s">
        <v>61</v>
      </c>
      <c r="C22" s="8" t="s">
        <v>62</v>
      </c>
      <c r="D22">
        <f>VLOOKUP(Kundentabelle!A22,'Kontodaten anzeigen'!A:D,2,FALSE)</f>
        <v>13258.43</v>
      </c>
    </row>
    <row r="23" spans="1:4" x14ac:dyDescent="0.25">
      <c r="A23" s="8" t="s">
        <v>64</v>
      </c>
      <c r="B23" s="8" t="s">
        <v>61</v>
      </c>
      <c r="C23" s="8" t="s">
        <v>62</v>
      </c>
      <c r="D23">
        <f>VLOOKUP(Kundentabelle!A23,'Kontodaten anzeigen'!A:D,2,FALSE)</f>
        <v>13419.43</v>
      </c>
    </row>
    <row r="24" spans="1:4" x14ac:dyDescent="0.25">
      <c r="A24" s="8" t="s">
        <v>65</v>
      </c>
      <c r="B24" s="8" t="s">
        <v>61</v>
      </c>
      <c r="C24" s="8" t="s">
        <v>62</v>
      </c>
      <c r="D24">
        <f>VLOOKUP(Kundentabelle!A24,'Kontodaten anzeigen'!A:D,2,FALSE)</f>
        <v>13520.43</v>
      </c>
    </row>
    <row r="25" spans="1:4" x14ac:dyDescent="0.25">
      <c r="A25" s="8" t="s">
        <v>66</v>
      </c>
      <c r="B25" s="8" t="s">
        <v>61</v>
      </c>
      <c r="C25" s="8" t="s">
        <v>62</v>
      </c>
      <c r="D25">
        <f>VLOOKUP(Kundentabelle!A25,'Kontodaten anzeigen'!A:D,2,FALSE)</f>
        <v>13561.43</v>
      </c>
    </row>
    <row r="26" spans="1:4" x14ac:dyDescent="0.25">
      <c r="A26" s="8" t="s">
        <v>67</v>
      </c>
      <c r="B26" s="8" t="s">
        <v>61</v>
      </c>
      <c r="C26" s="8" t="s">
        <v>62</v>
      </c>
      <c r="D26">
        <f>VLOOKUP(Kundentabelle!A26,'Kontodaten anzeigen'!A:D,2,FALSE)</f>
        <v>13542.43</v>
      </c>
    </row>
    <row r="27" spans="1:4" x14ac:dyDescent="0.25">
      <c r="A27" s="8" t="s">
        <v>68</v>
      </c>
      <c r="B27" s="8" t="s">
        <v>69</v>
      </c>
      <c r="C27" s="8" t="s">
        <v>70</v>
      </c>
      <c r="D27">
        <f>VLOOKUP(Kundentabelle!A27,'Kontodaten anzeigen'!A:D,2,FALSE)</f>
        <v>13463.43</v>
      </c>
    </row>
    <row r="28" spans="1:4" x14ac:dyDescent="0.25">
      <c r="A28" s="8" t="s">
        <v>71</v>
      </c>
      <c r="B28" s="8" t="s">
        <v>69</v>
      </c>
      <c r="C28" s="8" t="s">
        <v>70</v>
      </c>
      <c r="D28">
        <f>VLOOKUP(Kundentabelle!A28,'Kontodaten anzeigen'!A:D,2,FALSE)</f>
        <v>13324.43</v>
      </c>
    </row>
    <row r="29" spans="1:4" x14ac:dyDescent="0.25">
      <c r="A29" s="8" t="s">
        <v>72</v>
      </c>
      <c r="B29" s="8" t="s">
        <v>69</v>
      </c>
      <c r="C29" s="8" t="s">
        <v>70</v>
      </c>
      <c r="D29">
        <f>VLOOKUP(Kundentabelle!A29,'Kontodaten anzeigen'!A:D,2,FALSE)</f>
        <v>13125.43</v>
      </c>
    </row>
    <row r="30" spans="1:4" x14ac:dyDescent="0.25">
      <c r="A30" s="8" t="s">
        <v>73</v>
      </c>
      <c r="B30" s="8" t="s">
        <v>69</v>
      </c>
      <c r="C30" s="8" t="s">
        <v>70</v>
      </c>
      <c r="D30">
        <f>VLOOKUP(Kundentabelle!A30,'Kontodaten anzeigen'!A:D,2,FALSE)</f>
        <v>12866.43</v>
      </c>
    </row>
    <row r="31" spans="1:4" x14ac:dyDescent="0.25">
      <c r="A31" s="8" t="s">
        <v>74</v>
      </c>
      <c r="B31" s="8" t="s">
        <v>69</v>
      </c>
      <c r="C31" s="8" t="s">
        <v>70</v>
      </c>
      <c r="D31">
        <f>VLOOKUP(Kundentabelle!A31,'Kontodaten anzeigen'!A:D,2,FALSE)</f>
        <v>12547.43</v>
      </c>
    </row>
    <row r="32" spans="1:4" x14ac:dyDescent="0.25">
      <c r="A32" s="8" t="s">
        <v>75</v>
      </c>
      <c r="B32" s="8" t="s">
        <v>76</v>
      </c>
      <c r="C32" s="8" t="s">
        <v>77</v>
      </c>
      <c r="D32">
        <f>VLOOKUP(Kundentabelle!A32,'Kontodaten anzeigen'!A:D,2,FALSE)</f>
        <v>12168.43</v>
      </c>
    </row>
    <row r="33" spans="1:4" x14ac:dyDescent="0.25">
      <c r="A33" s="8" t="s">
        <v>78</v>
      </c>
      <c r="B33" s="8" t="s">
        <v>76</v>
      </c>
      <c r="C33" s="8" t="s">
        <v>77</v>
      </c>
      <c r="D33">
        <f>VLOOKUP(Kundentabelle!A33,'Kontodaten anzeigen'!A:D,2,FALSE)</f>
        <v>11729.43</v>
      </c>
    </row>
    <row r="34" spans="1:4" x14ac:dyDescent="0.25">
      <c r="A34" s="8" t="s">
        <v>79</v>
      </c>
      <c r="B34" s="8" t="s">
        <v>76</v>
      </c>
      <c r="C34" s="8" t="s">
        <v>77</v>
      </c>
      <c r="D34">
        <f>VLOOKUP(Kundentabelle!A34,'Kontodaten anzeigen'!A:D,2,FALSE)</f>
        <v>11230.43</v>
      </c>
    </row>
    <row r="35" spans="1:4" x14ac:dyDescent="0.25">
      <c r="A35" s="8" t="s">
        <v>80</v>
      </c>
      <c r="B35" s="8" t="s">
        <v>76</v>
      </c>
      <c r="C35" s="8" t="s">
        <v>77</v>
      </c>
      <c r="D35">
        <f>VLOOKUP(Kundentabelle!A35,'Kontodaten anzeigen'!A:D,2,FALSE)</f>
        <v>10671.43</v>
      </c>
    </row>
    <row r="36" spans="1:4" x14ac:dyDescent="0.25">
      <c r="A36" s="8" t="s">
        <v>81</v>
      </c>
      <c r="B36" s="8" t="s">
        <v>76</v>
      </c>
      <c r="C36" s="8" t="s">
        <v>77</v>
      </c>
      <c r="D36">
        <f>VLOOKUP(Kundentabelle!A36,'Kontodaten anzeigen'!A:D,2,FALSE)</f>
        <v>10052.43</v>
      </c>
    </row>
    <row r="37" spans="1:4" x14ac:dyDescent="0.25">
      <c r="A37" s="8" t="s">
        <v>82</v>
      </c>
      <c r="B37" s="8" t="s">
        <v>83</v>
      </c>
      <c r="C37" s="8" t="s">
        <v>84</v>
      </c>
      <c r="D37">
        <f>VLOOKUP(Kundentabelle!A37,'Kontodaten anzeigen'!A:D,2,FALSE)</f>
        <v>9373.43</v>
      </c>
    </row>
    <row r="38" spans="1:4" x14ac:dyDescent="0.25">
      <c r="A38" s="8" t="s">
        <v>85</v>
      </c>
      <c r="B38" s="8" t="s">
        <v>83</v>
      </c>
      <c r="C38" s="8" t="s">
        <v>84</v>
      </c>
      <c r="D38">
        <f>VLOOKUP(Kundentabelle!A38,'Kontodaten anzeigen'!A:D,2,FALSE)</f>
        <v>8634.43</v>
      </c>
    </row>
    <row r="39" spans="1:4" x14ac:dyDescent="0.25">
      <c r="A39" s="8" t="s">
        <v>86</v>
      </c>
      <c r="B39" s="8" t="s">
        <v>83</v>
      </c>
      <c r="C39" s="8" t="s">
        <v>84</v>
      </c>
      <c r="D39">
        <f>VLOOKUP(Kundentabelle!A39,'Kontodaten anzeigen'!A:D,2,FALSE)</f>
        <v>7835.43</v>
      </c>
    </row>
    <row r="40" spans="1:4" x14ac:dyDescent="0.25">
      <c r="A40" s="8" t="s">
        <v>87</v>
      </c>
      <c r="B40" s="8" t="s">
        <v>83</v>
      </c>
      <c r="C40" s="8" t="s">
        <v>84</v>
      </c>
      <c r="D40">
        <f>VLOOKUP(Kundentabelle!A40,'Kontodaten anzeigen'!A:D,2,FALSE)</f>
        <v>6976.43</v>
      </c>
    </row>
    <row r="41" spans="1:4" x14ac:dyDescent="0.25">
      <c r="A41" s="8" t="s">
        <v>88</v>
      </c>
      <c r="B41" s="8" t="s">
        <v>89</v>
      </c>
      <c r="C41" s="8" t="s">
        <v>90</v>
      </c>
      <c r="D41">
        <f>VLOOKUP(Kundentabelle!A41,'Kontodaten anzeigen'!A:D,2,FALSE)</f>
        <v>6057.43</v>
      </c>
    </row>
    <row r="42" spans="1:4" x14ac:dyDescent="0.25">
      <c r="A42" s="8" t="s">
        <v>91</v>
      </c>
      <c r="B42" s="8" t="s">
        <v>89</v>
      </c>
      <c r="C42" s="8" t="s">
        <v>90</v>
      </c>
      <c r="D42">
        <f>VLOOKUP(Kundentabelle!A42,'Kontodaten anzeigen'!A:D,2,FALSE)</f>
        <v>5078.43</v>
      </c>
    </row>
    <row r="43" spans="1:4" x14ac:dyDescent="0.25">
      <c r="A43" s="8" t="s">
        <v>92</v>
      </c>
      <c r="B43" s="8" t="s">
        <v>89</v>
      </c>
      <c r="C43" s="8" t="s">
        <v>90</v>
      </c>
      <c r="D43">
        <f>VLOOKUP(Kundentabelle!A43,'Kontodaten anzeigen'!A:D,2,FALSE)</f>
        <v>4039.43</v>
      </c>
    </row>
    <row r="44" spans="1:4" x14ac:dyDescent="0.25">
      <c r="A44" s="8" t="s">
        <v>93</v>
      </c>
      <c r="B44" s="8" t="s">
        <v>89</v>
      </c>
      <c r="C44" s="8" t="s">
        <v>90</v>
      </c>
      <c r="D44">
        <f>VLOOKUP(Kundentabelle!A44,'Kontodaten anzeigen'!A:D,2,FALSE)</f>
        <v>2940.43</v>
      </c>
    </row>
    <row r="45" spans="1:4" x14ac:dyDescent="0.25">
      <c r="A45" s="8" t="s">
        <v>94</v>
      </c>
      <c r="B45" s="8" t="s">
        <v>95</v>
      </c>
      <c r="C45" s="8" t="s">
        <v>96</v>
      </c>
      <c r="D45">
        <f>VLOOKUP(Kundentabelle!A45,'Kontodaten anzeigen'!A:D,2,FALSE)</f>
        <v>1781.43</v>
      </c>
    </row>
    <row r="46" spans="1:4" x14ac:dyDescent="0.25">
      <c r="A46" s="8" t="s">
        <v>97</v>
      </c>
      <c r="B46" s="8" t="s">
        <v>95</v>
      </c>
      <c r="C46" s="8" t="s">
        <v>96</v>
      </c>
      <c r="D46">
        <f>VLOOKUP(Kundentabelle!A46,'Kontodaten anzeigen'!A:D,2,FALSE)</f>
        <v>562.42999999999995</v>
      </c>
    </row>
    <row r="47" spans="1:4" x14ac:dyDescent="0.25">
      <c r="A47" s="8" t="s">
        <v>98</v>
      </c>
      <c r="B47" s="8" t="s">
        <v>95</v>
      </c>
      <c r="C47" s="8" t="s">
        <v>96</v>
      </c>
      <c r="D47">
        <f>VLOOKUP(Kundentabelle!A47,'Kontodaten anzeigen'!A:D,2,FALSE)</f>
        <v>-716.57</v>
      </c>
    </row>
    <row r="48" spans="1:4" x14ac:dyDescent="0.25">
      <c r="A48" s="8" t="s">
        <v>99</v>
      </c>
      <c r="B48" s="8" t="s">
        <v>100</v>
      </c>
      <c r="C48" s="8" t="s">
        <v>101</v>
      </c>
      <c r="D48">
        <f>VLOOKUP(Kundentabelle!A48,'Kontodaten anzeigen'!A:D,2,FALSE)</f>
        <v>-2055.5700000000002</v>
      </c>
    </row>
    <row r="49" spans="1:4" x14ac:dyDescent="0.25">
      <c r="A49" s="8" t="s">
        <v>102</v>
      </c>
      <c r="B49" s="8" t="s">
        <v>100</v>
      </c>
      <c r="C49" s="8" t="s">
        <v>101</v>
      </c>
      <c r="D49">
        <f>VLOOKUP(Kundentabelle!A49,'Kontodaten anzeigen'!A:D,2,FALSE)</f>
        <v>-3454.57</v>
      </c>
    </row>
    <row r="50" spans="1:4" x14ac:dyDescent="0.25">
      <c r="A50" s="8" t="s">
        <v>103</v>
      </c>
      <c r="B50" s="8" t="s">
        <v>104</v>
      </c>
      <c r="C50" s="8" t="s">
        <v>105</v>
      </c>
      <c r="D50">
        <f>VLOOKUP(Kundentabelle!A50,'Kontodaten anzeigen'!A:D,2,FALSE)</f>
        <v>-4913.57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515B5-5D8A-4F2E-8CD3-76CEF45E7C20}">
  <sheetPr codeName="Tabelle4"/>
  <dimension ref="A3:B31"/>
  <sheetViews>
    <sheetView workbookViewId="0">
      <selection activeCell="A25" sqref="A25"/>
    </sheetView>
  </sheetViews>
  <sheetFormatPr baseColWidth="10" defaultRowHeight="15" x14ac:dyDescent="0.25"/>
  <cols>
    <col min="1" max="1" width="32.28515625" customWidth="1"/>
    <col min="2" max="2" width="16.85546875" bestFit="1" customWidth="1"/>
  </cols>
  <sheetData>
    <row r="3" spans="1:2" x14ac:dyDescent="0.25">
      <c r="A3" s="3" t="s">
        <v>5</v>
      </c>
      <c r="B3" t="s">
        <v>4</v>
      </c>
    </row>
    <row r="4" spans="1:2" x14ac:dyDescent="0.25">
      <c r="A4" s="4" t="s">
        <v>7</v>
      </c>
      <c r="B4" s="2">
        <v>238138.59999999998</v>
      </c>
    </row>
    <row r="5" spans="1:2" x14ac:dyDescent="0.25">
      <c r="A5" s="5" t="s">
        <v>8</v>
      </c>
      <c r="B5" s="2">
        <v>7527.43</v>
      </c>
    </row>
    <row r="6" spans="1:2" x14ac:dyDescent="0.25">
      <c r="A6" s="6" t="s">
        <v>9</v>
      </c>
      <c r="B6" s="2">
        <v>7527.43</v>
      </c>
    </row>
    <row r="7" spans="1:2" x14ac:dyDescent="0.25">
      <c r="A7" s="5" t="s">
        <v>10</v>
      </c>
      <c r="B7" s="2">
        <v>60305.58</v>
      </c>
    </row>
    <row r="8" spans="1:2" x14ac:dyDescent="0.25">
      <c r="A8" s="5" t="s">
        <v>11</v>
      </c>
      <c r="B8" s="2">
        <v>90422.010000000009</v>
      </c>
    </row>
    <row r="9" spans="1:2" x14ac:dyDescent="0.25">
      <c r="A9" s="5" t="s">
        <v>12</v>
      </c>
      <c r="B9" s="2">
        <v>79883.58</v>
      </c>
    </row>
    <row r="10" spans="1:2" x14ac:dyDescent="0.25">
      <c r="A10" s="6" t="s">
        <v>13</v>
      </c>
      <c r="B10" s="2">
        <v>27103.86</v>
      </c>
    </row>
    <row r="11" spans="1:2" x14ac:dyDescent="0.25">
      <c r="A11" s="6" t="s">
        <v>14</v>
      </c>
      <c r="B11" s="2">
        <v>26787.86</v>
      </c>
    </row>
    <row r="12" spans="1:2" x14ac:dyDescent="0.25">
      <c r="A12" s="6" t="s">
        <v>15</v>
      </c>
      <c r="B12" s="2">
        <v>25991.86</v>
      </c>
    </row>
    <row r="13" spans="1:2" x14ac:dyDescent="0.25">
      <c r="A13" s="4" t="s">
        <v>16</v>
      </c>
      <c r="B13" s="2">
        <v>125452.17</v>
      </c>
    </row>
    <row r="14" spans="1:2" x14ac:dyDescent="0.25">
      <c r="A14" s="5" t="s">
        <v>8</v>
      </c>
      <c r="B14" s="2">
        <v>68399.58</v>
      </c>
    </row>
    <row r="15" spans="1:2" x14ac:dyDescent="0.25">
      <c r="A15" s="6" t="s">
        <v>17</v>
      </c>
      <c r="B15" s="2">
        <v>24715.86</v>
      </c>
    </row>
    <row r="16" spans="1:2" x14ac:dyDescent="0.25">
      <c r="A16" s="6" t="s">
        <v>18</v>
      </c>
      <c r="B16" s="2">
        <v>22959.86</v>
      </c>
    </row>
    <row r="17" spans="1:2" x14ac:dyDescent="0.25">
      <c r="A17" s="6" t="s">
        <v>9</v>
      </c>
      <c r="B17" s="2">
        <v>20723.86</v>
      </c>
    </row>
    <row r="18" spans="1:2" x14ac:dyDescent="0.25">
      <c r="A18" s="5" t="s">
        <v>10</v>
      </c>
      <c r="B18" s="2">
        <v>47995.01</v>
      </c>
    </row>
    <row r="19" spans="1:2" x14ac:dyDescent="0.25">
      <c r="A19" s="5" t="s">
        <v>11</v>
      </c>
      <c r="B19" s="2">
        <v>-942.42000000000007</v>
      </c>
    </row>
    <row r="20" spans="1:2" x14ac:dyDescent="0.25">
      <c r="A20" s="5" t="s">
        <v>12</v>
      </c>
      <c r="B20" s="2">
        <v>10000</v>
      </c>
    </row>
    <row r="21" spans="1:2" x14ac:dyDescent="0.25">
      <c r="A21" s="6" t="s">
        <v>13</v>
      </c>
      <c r="B21" s="2">
        <v>10000</v>
      </c>
    </row>
    <row r="22" spans="1:2" x14ac:dyDescent="0.25">
      <c r="A22" s="4" t="s">
        <v>19</v>
      </c>
      <c r="B22" s="2">
        <v>60536.06</v>
      </c>
    </row>
    <row r="23" spans="1:2" x14ac:dyDescent="0.25">
      <c r="A23" s="5" t="s">
        <v>8</v>
      </c>
      <c r="B23" s="2">
        <v>25994.63</v>
      </c>
    </row>
    <row r="24" spans="1:2" x14ac:dyDescent="0.25">
      <c r="A24" s="6" t="s">
        <v>9</v>
      </c>
      <c r="B24" s="2">
        <v>25994.63</v>
      </c>
    </row>
    <row r="25" spans="1:2" x14ac:dyDescent="0.25">
      <c r="A25" s="5" t="s">
        <v>10</v>
      </c>
      <c r="B25" s="2">
        <v>34541.43</v>
      </c>
    </row>
    <row r="26" spans="1:2" x14ac:dyDescent="0.25">
      <c r="A26" s="4" t="s">
        <v>20</v>
      </c>
      <c r="B26" s="2">
        <v>1682.8600000000001</v>
      </c>
    </row>
    <row r="27" spans="1:2" x14ac:dyDescent="0.25">
      <c r="A27" s="5" t="s">
        <v>8</v>
      </c>
      <c r="B27" s="2">
        <v>341.43</v>
      </c>
    </row>
    <row r="28" spans="1:2" x14ac:dyDescent="0.25">
      <c r="A28" s="6" t="s">
        <v>9</v>
      </c>
      <c r="B28" s="2">
        <v>341.43</v>
      </c>
    </row>
    <row r="29" spans="1:2" x14ac:dyDescent="0.25">
      <c r="A29" s="5" t="s">
        <v>12</v>
      </c>
      <c r="B29" s="2">
        <v>1341.43</v>
      </c>
    </row>
    <row r="30" spans="1:2" x14ac:dyDescent="0.25">
      <c r="A30" s="6" t="s">
        <v>15</v>
      </c>
      <c r="B30" s="2">
        <v>1341.43</v>
      </c>
    </row>
    <row r="31" spans="1:2" x14ac:dyDescent="0.25">
      <c r="A31" s="4" t="s">
        <v>6</v>
      </c>
      <c r="B31" s="2">
        <v>425809.68999999994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Kontodaten anzeigen</vt:lpstr>
      <vt:lpstr>Kundenuebersicht</vt:lpstr>
      <vt:lpstr>TreeView</vt:lpstr>
      <vt:lpstr>Kundentabelle</vt:lpstr>
      <vt:lpstr>Pivottabelle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</dc:creator>
  <cp:lastModifiedBy>RK</cp:lastModifiedBy>
  <dcterms:created xsi:type="dcterms:W3CDTF">2022-05-23T15:08:00Z</dcterms:created>
  <dcterms:modified xsi:type="dcterms:W3CDTF">2022-05-25T14:12:03Z</dcterms:modified>
</cp:coreProperties>
</file>